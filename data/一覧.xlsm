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9" activeTab="13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  <sheet name="CHARA_EXP_POINT" sheetId="27" r:id="rId1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1" i="23" l="1"/>
  <c r="D280" i="23"/>
  <c r="D279" i="23"/>
  <c r="D278" i="23"/>
  <c r="J192" i="12" l="1"/>
  <c r="I226" i="12"/>
  <c r="B226" i="12"/>
  <c r="B192" i="12" l="1"/>
  <c r="J66" i="12" l="1"/>
  <c r="I128" i="12"/>
  <c r="B128" i="12"/>
  <c r="J51" i="12" l="1"/>
  <c r="I127" i="12"/>
  <c r="B127" i="12"/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5" i="12" l="1"/>
  <c r="I225" i="12"/>
  <c r="B225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30" i="12" l="1"/>
  <c r="J248" i="12"/>
  <c r="J247" i="12"/>
  <c r="I228" i="12"/>
  <c r="D242" i="23" l="1"/>
  <c r="D241" i="23"/>
  <c r="D240" i="23"/>
  <c r="D239" i="23"/>
  <c r="J191" i="12" l="1"/>
  <c r="I224" i="12"/>
  <c r="B224" i="12"/>
  <c r="B191" i="12"/>
  <c r="J69" i="12" l="1"/>
  <c r="I121" i="12"/>
  <c r="B121" i="12"/>
  <c r="B69" i="12"/>
  <c r="B120" i="12" l="1"/>
  <c r="J183" i="12" l="1"/>
  <c r="B190" i="12" l="1"/>
  <c r="E65" i="15"/>
  <c r="E66" i="15" s="1"/>
  <c r="E67" i="15" l="1"/>
  <c r="E68" i="15" s="1"/>
  <c r="E69" i="15" s="1"/>
  <c r="E70" i="15" s="1"/>
  <c r="E71" i="15" s="1"/>
  <c r="E72" i="15" s="1"/>
  <c r="E73" i="15" s="1"/>
  <c r="B272" i="12"/>
  <c r="B271" i="12"/>
  <c r="D73" i="15" l="1"/>
  <c r="B16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9" i="12"/>
  <c r="J188" i="12"/>
  <c r="I223" i="12"/>
  <c r="I222" i="12"/>
  <c r="B223" i="12"/>
  <c r="B222" i="12"/>
  <c r="B189" i="12"/>
  <c r="B188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21" i="12" l="1"/>
  <c r="B187" i="12"/>
  <c r="J18" i="12" l="1"/>
  <c r="I117" i="12"/>
  <c r="B117" i="12"/>
  <c r="D228" i="23" l="1"/>
  <c r="J56" i="12" l="1"/>
  <c r="I116" i="12"/>
  <c r="B116" i="12"/>
  <c r="B112" i="12" l="1"/>
  <c r="B220" i="12"/>
  <c r="J186" i="12"/>
  <c r="I220" i="12"/>
  <c r="D227" i="23"/>
  <c r="D124" i="15" l="1"/>
  <c r="D50" i="15"/>
  <c r="B186" i="12" l="1"/>
  <c r="B115" i="12"/>
  <c r="B66" i="12"/>
  <c r="D223" i="23" l="1"/>
  <c r="J38" i="12"/>
  <c r="I114" i="12"/>
  <c r="B114" i="12"/>
  <c r="I219" i="12" l="1"/>
  <c r="J185" i="12"/>
  <c r="B219" i="12"/>
  <c r="B185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8" i="12" l="1"/>
  <c r="J184" i="12"/>
  <c r="I217" i="12"/>
  <c r="B217" i="12"/>
  <c r="B184" i="12"/>
  <c r="E121" i="15"/>
  <c r="E122" i="15" s="1"/>
  <c r="E123" i="15" s="1"/>
  <c r="E125" i="15" s="1"/>
  <c r="E131" i="15" s="1"/>
  <c r="E128" i="15" s="1"/>
  <c r="E132" i="15" s="1"/>
  <c r="E138" i="15" s="1"/>
  <c r="B65" i="12"/>
  <c r="J180" i="12" l="1"/>
  <c r="J176" i="12"/>
  <c r="J168" i="12"/>
  <c r="J167" i="12"/>
  <c r="I209" i="12"/>
  <c r="I207" i="12"/>
  <c r="I212" i="12"/>
  <c r="I211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6" i="12"/>
  <c r="B216" i="12"/>
  <c r="B183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81" i="12" l="1"/>
  <c r="I215" i="12"/>
  <c r="B215" i="12"/>
  <c r="B182" i="12"/>
  <c r="B181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5" i="12"/>
  <c r="B246" i="12"/>
  <c r="B242" i="12"/>
  <c r="B243" i="12"/>
  <c r="B244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7" i="12"/>
  <c r="B198" i="12"/>
  <c r="B194" i="12"/>
  <c r="B195" i="12"/>
  <c r="B196" i="12"/>
  <c r="B193" i="12"/>
  <c r="B180" i="12"/>
  <c r="B179" i="12"/>
  <c r="B178" i="12"/>
  <c r="B175" i="12"/>
  <c r="B176" i="12"/>
  <c r="B177" i="12"/>
  <c r="B171" i="12"/>
  <c r="B172" i="12"/>
  <c r="B173" i="12"/>
  <c r="B174" i="12"/>
  <c r="B166" i="12"/>
  <c r="B167" i="12"/>
  <c r="B168" i="12"/>
  <c r="B169" i="12"/>
  <c r="B170" i="12"/>
  <c r="B165" i="12"/>
  <c r="B160" i="12"/>
  <c r="B161" i="12"/>
  <c r="B162" i="12"/>
  <c r="B163" i="12"/>
  <c r="B159" i="12"/>
  <c r="B158" i="12"/>
  <c r="B157" i="12"/>
  <c r="B156" i="12"/>
  <c r="B155" i="12"/>
  <c r="B154" i="12"/>
  <c r="B153" i="12"/>
  <c r="B152" i="12"/>
  <c r="B151" i="12"/>
  <c r="B150" i="12"/>
  <c r="B149" i="12"/>
  <c r="J236" i="12"/>
  <c r="I235" i="12"/>
  <c r="J234" i="12"/>
  <c r="I233" i="12"/>
  <c r="J232" i="12"/>
  <c r="I231" i="12"/>
  <c r="J230" i="12"/>
  <c r="I229" i="12"/>
  <c r="J228" i="12"/>
  <c r="I227" i="12"/>
  <c r="I213" i="12"/>
  <c r="I205" i="12"/>
  <c r="I204" i="12"/>
  <c r="I203" i="12"/>
  <c r="I202" i="12"/>
  <c r="I201" i="12"/>
  <c r="I200" i="12"/>
  <c r="I199" i="12"/>
  <c r="I198" i="12"/>
  <c r="I197" i="12"/>
  <c r="I196" i="12"/>
  <c r="I195" i="12"/>
  <c r="I194" i="12"/>
  <c r="I193" i="12"/>
  <c r="J174" i="12"/>
  <c r="J173" i="12"/>
  <c r="J172" i="12"/>
  <c r="J171" i="12"/>
  <c r="J170" i="12"/>
  <c r="J166" i="12"/>
  <c r="J165" i="12"/>
  <c r="J162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B148" i="12" l="1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2" i="12" l="1"/>
  <c r="I141" i="12"/>
  <c r="J140" i="12"/>
  <c r="I139" i="12"/>
  <c r="J138" i="12"/>
  <c r="I137" i="12"/>
  <c r="J136" i="12"/>
  <c r="I135" i="12"/>
  <c r="J134" i="12"/>
  <c r="I133" i="12"/>
  <c r="J132" i="12"/>
  <c r="I131" i="12"/>
  <c r="J130" i="12"/>
  <c r="I129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<sst xmlns="http://schemas.openxmlformats.org/spreadsheetml/2006/main" count="3234" uniqueCount="1975">
  <si>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</si>
  <si>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</si>
  <si>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</si>
  <si>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</si>
  <si>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</si>
  <si>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</si>
  <si>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</si>
  <si>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</si>
  <si>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</si>
  <si>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</si>
  <si>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</si>
  <si>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</si>
  <si>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</si>
  <si>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</si>
  <si>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</si>
  <si>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</si>
  <si>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</si>
  <si>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</si>
  <si>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</si>
  <si>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</si>
  <si>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</si>
  <si>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</si>
  <si>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</si>
  <si>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</si>
  <si>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</si>
  <si>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</si>
  <si>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</si>
  <si>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</si>
  <si>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</si>
  <si>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</si>
  <si>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</si>
  <si>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</si>
  <si>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</si>
  <si>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</si>
  <si>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</si>
  <si>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</si>
  <si>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</si>
  <si>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</si>
  <si>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</si>
  <si>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</si>
  <si>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</si>
  <si>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</si>
  <si>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</si>
  <si>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</si>
  <si>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</si>
  <si>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</si>
  <si>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</si>
  <si>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</si>
  <si>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</si>
  <si>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</si>
  <si>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</si>
  <si>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</si>
  <si>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</si>
  <si>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</si>
  <si>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</si>
  <si>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</si>
  <si>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</si>
  <si>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</si>
  <si>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</si>
  <si>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</si>
  <si>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</si>
  <si>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</si>
  <si>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</si>
  <si>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</si>
  <si>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</si>
  <si>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</si>
  <si>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</si>
  <si>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</si>
  <si>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</si>
  <si>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</si>
  <si>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</si>
  <si>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</si>
  <si>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</si>
  <si>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</si>
  <si>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</si>
  <si>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</si>
  <si>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</si>
  <si>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</si>
  <si>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</si>
  <si>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</si>
  <si>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</si>
  <si>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</si>
  <si>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</si>
  <si>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</si>
  <si>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</si>
  <si>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</si>
  <si>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</si>
  <si>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</si>
  <si>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</si>
  <si>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</si>
  <si>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</si>
  <si>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</si>
  <si>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</si>
  <si>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</si>
  <si>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</si>
  <si>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</si>
  <si>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</si>
  <si>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</si>
  <si>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</si>
  <si>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</si>
  <si>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</si>
  <si>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</si>
  <si>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</si>
  <si>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</si>
  <si>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</si>
  <si>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</si>
  <si>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</si>
  <si>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</si>
  <si>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</si>
  <si>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</si>
  <si>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</si>
  <si>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</si>
  <si>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</si>
  <si>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</si>
  <si>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</si>
  <si>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</si>
  <si>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</si>
  <si>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</si>
  <si>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</si>
  <si>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</si>
  <si>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</si>
  <si>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</si>
  <si>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</si>
  <si>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</si>
  <si>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</si>
  <si>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</si>
  <si>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</si>
  <si>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</si>
  <si>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</si>
  <si>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</si>
  <si>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</si>
  <si>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</si>
  <si>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</si>
  <si>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</si>
  <si>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</si>
  <si>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</si>
  <si>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</si>
  <si>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</si>
  <si>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</si>
  <si>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</si>
  <si>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</si>
  <si>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</si>
  <si>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</si>
  <si>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</si>
  <si>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</si>
  <si>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</si>
  <si>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</si>
  <si>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</si>
  <si>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</si>
  <si>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</si>
  <si>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</si>
  <si>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</si>
  <si>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</si>
  <si>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</si>
  <si>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</si>
  <si>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</si>
  <si>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</si>
  <si>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</si>
  <si>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</si>
  <si>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</si>
  <si>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</si>
  <si>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</si>
  <si>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</si>
  <si>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</si>
  <si>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</si>
  <si>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</si>
  <si>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</si>
  <si>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</si>
  <si>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</si>
  <si>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</si>
  <si>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</si>
  <si>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</si>
  <si>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</si>
  <si>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</si>
  <si>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</si>
  <si>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</si>
  <si>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</si>
  <si>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</si>
  <si>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</si>
  <si>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</si>
  <si>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</si>
  <si>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</si>
  <si>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</si>
  <si>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</si>
  <si>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</si>
  <si>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</si>
  <si>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</si>
  <si>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</si>
  <si>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</si>
  <si>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</si>
  <si>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</si>
  <si>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</si>
  <si>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</si>
  <si>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</si>
  <si>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</si>
  <si>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</si>
  <si>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</si>
  <si>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</si>
  <si>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</si>
  <si>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</si>
  <si>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</si>
  <si>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</si>
  <si>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</si>
  <si>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</si>
  <si>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</si>
  <si>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</si>
  <si>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</si>
  <si>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</si>
  <si>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</si>
  <si>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</si>
  <si>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</si>
  <si>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</si>
  <si>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</si>
  <si>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</si>
  <si>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</si>
  <si>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</si>
  <si>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</si>
  <si>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</si>
  <si>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</si>
  <si>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</si>
  <si>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</si>
  <si>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</si>
  <si>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</si>
  <si>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</si>
  <si>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</si>
  <si>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</si>
  <si>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</si>
  <si>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</si>
  <si>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</si>
  <si>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</si>
  <si>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</si>
  <si>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</si>
  <si>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</si>
  <si>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</si>
  <si>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</si>
  <si>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</si>
  <si>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</si>
  <si>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</si>
  <si>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</si>
  <si>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</si>
  <si>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</si>
  <si>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</si>
  <si>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</si>
  <si>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</si>
  <si>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</si>
  <si>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</si>
  <si>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</si>
  <si>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</si>
  <si>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</si>
  <si>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</si>
  <si>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</si>
  <si>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</si>
  <si>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</si>
  <si>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</si>
  <si>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</si>
  <si>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</si>
  <si>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</si>
  <si>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</si>
  <si>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</si>
  <si>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</si>
  <si>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</si>
  <si>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</si>
  <si>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</si>
  <si>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</si>
  <si>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</si>
  <si>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</si>
  <si>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</si>
  <si>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</si>
  <si>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</si>
  <si>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</si>
  <si>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</si>
  <si>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</si>
  <si>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</si>
  <si>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</si>
  <si>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</si>
  <si>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</si>
  <si>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</si>
  <si>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</si>
  <si>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</si>
  <si>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</si>
  <si>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</si>
  <si>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</si>
  <si>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</si>
  <si>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</si>
  <si>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</si>
  <si>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</si>
  <si>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</si>
  <si>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</si>
  <si>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</si>
  <si>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</si>
  <si>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</si>
  <si>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</si>
  <si>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</si>
  <si>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</si>
  <si>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</si>
  <si>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</si>
  <si>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</si>
  <si>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</si>
  <si>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</si>
  <si>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</si>
  <si>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</si>
  <si>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</si>
  <si>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</si>
  <si>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</si>
  <si>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</si>
  <si>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</si>
  <si>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</si>
  <si>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</si>
  <si>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</si>
  <si>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</si>
  <si>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</si>
  <si>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</si>
  <si>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</si>
  <si>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</si>
  <si>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</si>
  <si>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</si>
  <si>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</si>
  <si>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</si>
  <si>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</si>
  <si>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</si>
  <si>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</si>
  <si>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</si>
  <si>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</si>
  <si>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</si>
  <si>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</si>
  <si>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</si>
  <si>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</si>
  <si>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</si>
  <si>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</si>
  <si>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</si>
  <si>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</si>
  <si>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</si>
  <si>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</si>
  <si>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</si>
  <si>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</si>
  <si>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</si>
  <si>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</si>
  <si>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</si>
  <si>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</si>
  <si>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</si>
  <si>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</si>
  <si>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</si>
  <si>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</si>
  <si>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</si>
  <si>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</si>
  <si>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</si>
  <si>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</si>
  <si>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</si>
  <si>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</si>
  <si>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</si>
  <si>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</si>
  <si>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</si>
  <si>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</si>
  <si>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</si>
  <si>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</si>
  <si>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</si>
  <si>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</si>
  <si>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</si>
  <si>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</si>
  <si>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</si>
  <si>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</si>
  <si>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</si>
  <si>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</si>
  <si>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</si>
  <si>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</si>
  <si>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</si>
  <si>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</si>
  <si>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</si>
  <si>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</si>
  <si>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</si>
  <si>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</si>
  <si>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</si>
  <si>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</si>
  <si>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</si>
  <si>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</si>
  <si>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</si>
  <si>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</si>
  <si>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</si>
  <si>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</si>
  <si>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</si>
  <si>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</si>
  <si>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</si>
  <si>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</si>
  <si>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</si>
  <si>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</si>
  <si>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</si>
  <si>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</si>
  <si>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</si>
  <si>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</si>
  <si>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</si>
  <si>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</si>
  <si>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</si>
  <si>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</si>
  <si>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</si>
  <si>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</si>
  <si>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</si>
  <si>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</si>
  <si>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</si>
  <si>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</si>
  <si>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</si>
  <si>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</si>
  <si>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</si>
  <si>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</si>
  <si>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</si>
  <si>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</si>
  <si>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</si>
  <si>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</si>
  <si>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</si>
  <si>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</si>
  <si>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</si>
  <si>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</si>
  <si>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</si>
  <si>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</si>
  <si>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</si>
  <si>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</si>
  <si>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</si>
  <si>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</si>
  <si>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</si>
  <si>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</si>
  <si>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</si>
  <si>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</si>
  <si>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</si>
  <si>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</si>
  <si>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</si>
  <si>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</si>
  <si>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</si>
  <si>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</si>
  <si>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</si>
  <si>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</si>
  <si>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</si>
  <si>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</si>
  <si>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</si>
  <si>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</si>
  <si>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</si>
  <si>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</si>
  <si>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</si>
  <si>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</si>
  <si>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</si>
  <si>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</si>
  <si>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</si>
  <si>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</si>
  <si>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</si>
  <si>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</si>
  <si>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</si>
  <si>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</si>
  <si>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</si>
  <si>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</si>
  <si>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</si>
  <si>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</si>
  <si>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</si>
  <si>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</si>
  <si>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</si>
  <si>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</si>
  <si>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</si>
  <si>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</si>
  <si>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</si>
  <si>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</si>
  <si>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</si>
  <si>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</si>
  <si>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</si>
  <si>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</si>
  <si>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</si>
  <si>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</si>
  <si>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</si>
  <si>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</si>
  <si>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</si>
  <si>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</si>
  <si>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</si>
  <si>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</si>
  <si>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</si>
  <si>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</si>
  <si>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</si>
  <si>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</si>
  <si>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</si>
  <si>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</si>
  <si>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</si>
  <si>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</si>
  <si>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</si>
  <si>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</si>
  <si>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</si>
  <si>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</si>
  <si>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</si>
  <si>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</si>
  <si>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</si>
  <si>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</si>
  <si>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</si>
  <si>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</si>
  <si>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</si>
  <si>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</si>
  <si>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</si>
  <si>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</si>
  <si>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</si>
  <si>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</si>
  <si>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</si>
  <si>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</si>
  <si>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</si>
  <si>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</si>
  <si>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</si>
  <si>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</si>
  <si>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</si>
  <si>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</si>
  <si>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</si>
  <si>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</si>
  <si>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</si>
  <si>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</si>
  <si>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</si>
  <si>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</si>
  <si>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</si>
  <si>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</si>
  <si>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</si>
  <si>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</si>
  <si>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</si>
  <si>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</si>
  <si>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</si>
  <si>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</si>
  <si>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</si>
  <si>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</si>
  <si>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</si>
  <si>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</si>
  <si>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</si>
  <si>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</si>
  <si>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</si>
  <si>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</si>
  <si>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</si>
  <si>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</si>
  <si>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</si>
  <si>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</si>
  <si>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</si>
  <si>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</si>
  <si>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</si>
  <si>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</si>
  <si>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</si>
  <si>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</si>
  <si>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</si>
  <si>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</si>
  <si>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</si>
  <si>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</si>
  <si>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</si>
  <si>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</si>
  <si>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</si>
  <si>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</si>
  <si>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</si>
  <si>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</si>
  <si>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</si>
  <si>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</si>
  <si>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</si>
  <si>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</si>
  <si>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</si>
  <si>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</si>
  <si>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</si>
  <si>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</si>
  <si>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</si>
  <si>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</si>
  <si>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</si>
  <si>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</si>
  <si>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</si>
  <si>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</si>
  <si>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</si>
  <si>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</si>
  <si>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</si>
  <si>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</si>
  <si>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</si>
  <si>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</si>
  <si>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</si>
  <si>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</si>
  <si>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</si>
  <si>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</si>
  <si>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</si>
  <si>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</si>
  <si>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</si>
  <si>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</si>
  <si>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</si>
  <si>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</si>
  <si>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</si>
  <si>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</si>
  <si>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</si>
  <si>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</si>
  <si>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</si>
  <si>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</si>
  <si>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</si>
  <si>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</si>
  <si>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</si>
  <si>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</si>
  <si>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</si>
  <si>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</si>
  <si>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</si>
  <si>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</si>
  <si>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</si>
  <si>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</si>
  <si>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</si>
  <si>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</si>
  <si>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</si>
  <si>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</si>
  <si>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</si>
  <si>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</si>
  <si>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</si>
  <si>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</si>
  <si>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</si>
  <si>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</si>
  <si>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</si>
  <si>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</si>
  <si>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</si>
  <si>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</si>
  <si>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</si>
  <si>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</si>
  <si>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</si>
  <si>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</si>
  <si>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</si>
  <si>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</si>
  <si>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</si>
  <si>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</si>
  <si>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</si>
  <si>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</si>
  <si>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</si>
  <si>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</si>
  <si>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</si>
  <si>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</si>
  <si>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</si>
  <si>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</si>
  <si>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</si>
  <si>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</si>
  <si>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</si>
  <si>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</si>
  <si>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</si>
  <si>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</si>
  <si>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</si>
  <si>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</si>
  <si>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</si>
  <si>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</si>
  <si>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</si>
  <si>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</si>
  <si>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</si>
  <si>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</si>
  <si>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</si>
  <si>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</si>
  <si>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</si>
  <si>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</si>
  <si>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</si>
  <si>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</si>
  <si>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</si>
  <si>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</si>
  <si>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</si>
  <si>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</si>
  <si>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</si>
  <si>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</si>
  <si>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</si>
  <si>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</si>
  <si>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</si>
  <si>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</si>
  <si>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</si>
  <si>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</si>
  <si>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</si>
  <si>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</si>
  <si>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</si>
  <si>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</si>
  <si>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</si>
  <si>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</si>
  <si>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</si>
  <si>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</si>
  <si>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</si>
  <si>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</si>
  <si>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</si>
  <si>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</si>
  <si>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</si>
  <si>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</si>
  <si>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</si>
  <si>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</si>
  <si>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</si>
  <si>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</si>
  <si>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</si>
  <si>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</si>
  <si>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</si>
  <si>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</si>
  <si>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</si>
  <si>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</si>
  <si>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</si>
  <si>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</si>
  <si>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</si>
  <si>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</si>
  <si>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</si>
  <si>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</si>
  <si>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</si>
  <si>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</si>
  <si>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</si>
  <si>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</si>
  <si>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</si>
  <si>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</si>
  <si>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</si>
  <si>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</si>
  <si>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</si>
  <si>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</si>
  <si>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</si>
  <si>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</si>
  <si>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</si>
  <si>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</si>
  <si>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</si>
  <si>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</si>
  <si>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</si>
  <si>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</si>
  <si>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</si>
  <si>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</si>
  <si>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</si>
  <si>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</si>
  <si>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</si>
  <si>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</si>
  <si>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</si>
  <si>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</si>
  <si>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</si>
  <si>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</si>
  <si>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</si>
  <si>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</si>
  <si>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</si>
  <si>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</si>
  <si>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</si>
  <si>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</si>
  <si>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</si>
  <si>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</si>
  <si>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</si>
  <si>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</si>
  <si>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</si>
  <si>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</si>
  <si>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</si>
  <si>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</si>
  <si>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</si>
  <si>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</si>
  <si>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</si>
  <si>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</si>
  <si>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</si>
  <si>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</si>
  <si>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</si>
  <si>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</si>
  <si>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</si>
  <si>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</si>
  <si>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</si>
  <si>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</si>
  <si>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</si>
  <si>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</si>
  <si>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</si>
  <si>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</si>
  <si>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</si>
  <si>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</si>
  <si>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</si>
  <si>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</si>
  <si>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</si>
  <si>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</si>
  <si>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</si>
  <si>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</si>
  <si>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</si>
  <si>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</si>
  <si>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</si>
  <si>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</si>
  <si>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</si>
  <si>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</si>
  <si>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</si>
  <si>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</si>
  <si>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</si>
  <si>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</si>
  <si>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</si>
  <si>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</si>
  <si>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</si>
  <si>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</si>
  <si>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</si>
  <si>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</si>
  <si>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</si>
  <si>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</si>
  <si>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</si>
  <si>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</si>
  <si>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</si>
  <si>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</si>
  <si>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</si>
  <si>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</si>
  <si>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</si>
  <si>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</si>
  <si>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</si>
  <si>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</si>
  <si>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</si>
  <si>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</si>
  <si>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</si>
  <si>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</si>
  <si>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</si>
  <si>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</si>
  <si>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</si>
  <si>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</si>
  <si>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</si>
  <si>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</si>
  <si>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</si>
  <si>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</si>
  <si>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</si>
  <si>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</si>
  <si>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</si>
  <si>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</si>
  <si>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</si>
  <si>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</si>
  <si>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</si>
  <si>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</si>
  <si>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</si>
  <si>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</si>
  <si>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</si>
  <si>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</si>
  <si>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</si>
  <si>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</si>
  <si>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</si>
  <si>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</si>
  <si>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</si>
  <si>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</si>
  <si>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</si>
  <si>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</si>
  <si>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</si>
  <si>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</si>
  <si>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</si>
  <si>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</si>
  <si>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</si>
  <si>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</si>
  <si>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</si>
  <si>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</si>
  <si>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</si>
  <si>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</si>
  <si>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</si>
  <si>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</si>
  <si>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</si>
  <si>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</si>
  <si>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</si>
  <si>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</si>
  <si>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</si>
  <si>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</si>
  <si>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</si>
  <si>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</si>
  <si>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</si>
  <si>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</si>
  <si>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</si>
  <si>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</si>
  <si>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</si>
  <si>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</si>
  <si>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</si>
  <si>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</si>
  <si>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</si>
  <si>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</si>
  <si>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</si>
  <si>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</si>
  <si>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</si>
  <si>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</si>
  <si>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</si>
  <si>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</si>
  <si>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</si>
  <si>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</si>
  <si>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</si>
  <si>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</si>
  <si>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</si>
  <si>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</si>
  <si>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</si>
  <si>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</si>
  <si>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</si>
  <si>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</si>
  <si>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</si>
  <si>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</si>
  <si>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</si>
  <si>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</si>
  <si>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</si>
  <si>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</si>
  <si>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</si>
  <si>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</si>
  <si>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</si>
  <si>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</si>
  <si>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</si>
  <si>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</si>
  <si>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</si>
  <si>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</si>
  <si>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</si>
  <si>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</si>
  <si>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</si>
  <si>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</si>
  <si>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</si>
  <si>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</si>
  <si>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</si>
  <si>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</si>
  <si>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</si>
  <si>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</si>
  <si>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</si>
  <si>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</si>
  <si>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</si>
  <si>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</si>
  <si>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</si>
  <si>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</si>
  <si>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</si>
  <si>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</si>
  <si>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</si>
  <si>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</si>
  <si>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</si>
  <si>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</si>
  <si>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</si>
  <si>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</si>
  <si>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</si>
  <si>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</si>
  <si>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</si>
  <si>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</si>
  <si>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</si>
  <si>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</si>
  <si>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</si>
  <si>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</si>
  <si>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</si>
  <si>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</si>
  <si>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</si>
  <si>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</si>
  <si>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</si>
  <si>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</si>
  <si>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</si>
  <si>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</si>
  <si>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</si>
  <si>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</si>
  <si>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</si>
  <si>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</si>
  <si>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</si>
  <si>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</si>
  <si>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</si>
  <si>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</si>
  <si>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</si>
  <si>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</si>
  <si>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</si>
  <si>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</si>
  <si>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</si>
  <si>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</si>
  <si>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</si>
  <si>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</si>
  <si>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</si>
  <si>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</si>
  <si>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</si>
  <si>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</si>
  <si>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</si>
  <si>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</si>
  <si>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</si>
  <si>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</si>
  <si>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</si>
  <si>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</si>
  <si>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</si>
  <si>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</si>
  <si>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</si>
  <si>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</si>
  <si>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</si>
  <si>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</si>
  <si>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</si>
  <si>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</si>
  <si>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</si>
  <si>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</si>
  <si>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</si>
  <si>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</si>
  <si>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</si>
  <si>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</si>
  <si>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</si>
  <si>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</si>
  <si>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</si>
  <si>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</si>
  <si>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</si>
  <si>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</si>
  <si>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</si>
  <si>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</si>
  <si>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</si>
  <si>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</si>
  <si>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</si>
  <si>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</si>
  <si>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</si>
  <si>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</si>
  <si>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</si>
  <si>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</si>
  <si>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</si>
  <si>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</si>
  <si>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</si>
  <si>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</si>
  <si>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</si>
  <si>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</si>
  <si>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</si>
  <si>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</si>
  <si>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</si>
  <si>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</si>
  <si>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</si>
  <si>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</si>
  <si>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</si>
  <si>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</si>
  <si>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</si>
  <si>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</si>
  <si>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</si>
  <si>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</si>
  <si>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</si>
  <si>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</si>
  <si>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</si>
  <si>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</si>
  <si>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</si>
  <si>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</si>
  <si>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</si>
  <si>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</si>
  <si>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</si>
  <si>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</si>
  <si>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</si>
  <si>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</si>
  <si>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</si>
  <si>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</si>
  <si>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</si>
  <si>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</si>
  <si>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</si>
  <si>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</si>
  <si>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</si>
  <si>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</si>
  <si>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</si>
  <si>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</si>
  <si>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</si>
  <si>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</si>
  <si>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</si>
  <si>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</si>
  <si>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</si>
  <si>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</si>
  <si>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</si>
  <si>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</si>
  <si>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</si>
  <si>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</si>
  <si>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</si>
  <si>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</si>
  <si>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</si>
  <si>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</si>
  <si>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</si>
  <si>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</si>
  <si>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</si>
  <si>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</si>
  <si>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</si>
  <si>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</si>
  <si>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</si>
  <si>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</si>
  <si>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</si>
  <si>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</si>
  <si>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</si>
  <si>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</si>
  <si>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</si>
  <si>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</si>
  <si>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</si>
  <si>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</si>
  <si>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</si>
  <si>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</si>
  <si>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</si>
  <si>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</si>
  <si>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</si>
  <si>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</si>
  <si>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</si>
  <si>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</si>
  <si>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</si>
  <si>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</si>
  <si>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</si>
  <si>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</si>
  <si>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</si>
  <si>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</si>
  <si>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</si>
  <si>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</si>
  <si>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</si>
  <si>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</si>
  <si>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</si>
  <si>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</si>
  <si>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</si>
  <si>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</si>
  <si>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</si>
  <si>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</si>
  <si>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</si>
  <si>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</si>
  <si>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</si>
  <si>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</si>
  <si>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</si>
  <si>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</si>
  <si>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</si>
  <si>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</si>
  <si>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</si>
  <si>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</si>
  <si>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</si>
  <si>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</si>
  <si>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</si>
  <si>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</si>
  <si>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</si>
  <si>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</si>
  <si>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</si>
  <si>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</si>
  <si>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</si>
  <si>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</si>
  <si>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</si>
  <si>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</si>
  <si>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</si>
  <si>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</si>
  <si>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</si>
  <si>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</si>
  <si>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</si>
  <si>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</si>
  <si>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</si>
  <si>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</si>
  <si>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</si>
  <si>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</si>
  <si>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</si>
  <si>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</si>
  <si>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</si>
  <si>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</si>
  <si>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</si>
  <si>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</si>
  <si>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</si>
  <si>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</si>
  <si>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</si>
  <si>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</si>
  <si>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</si>
  <si>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</si>
  <si>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</si>
  <si>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</si>
  <si>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</si>
  <si>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</si>
  <si>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</si>
  <si>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</si>
  <si>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</si>
  <si>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</si>
  <si>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</si>
  <si>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</si>
  <si>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</si>
  <si>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</si>
  <si>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</si>
  <si>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</si>
  <si>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</si>
  <si>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</si>
  <si>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</si>
  <si>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</si>
  <si>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</si>
  <si>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</si>
  <si>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</si>
  <si>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</si>
  <si>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</si>
  <si>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</si>
  <si>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</si>
  <si>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</si>
  <si>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</si>
  <si>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</si>
  <si>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</si>
  <si>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</si>
  <si>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</si>
  <si>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</si>
  <si>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</si>
  <si>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</si>
  <si>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</si>
  <si>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</si>
  <si>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</si>
  <si>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</si>
  <si>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</si>
  <si>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</si>
  <si>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</si>
  <si>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</si>
  <si>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</si>
  <si>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</si>
  <si>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</si>
  <si>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</si>
  <si>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</si>
  <si>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</si>
  <si>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</si>
  <si>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</si>
  <si>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</si>
  <si>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</si>
  <si>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</si>
  <si>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</si>
  <si>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</si>
  <si>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</si>
  <si>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</si>
  <si>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</si>
  <si>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</si>
  <si>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</si>
  <si>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</si>
  <si>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</si>
  <si>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</si>
  <si>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</si>
  <si>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</si>
  <si>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</si>
  <si>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</si>
  <si>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</si>
  <si>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</si>
  <si>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</si>
  <si>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</si>
  <si>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</si>
  <si>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</si>
  <si>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</si>
  <si>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</si>
  <si>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</si>
  <si>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</si>
  <si>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</si>
  <si>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</si>
  <si>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</si>
  <si>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</si>
  <si>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</si>
  <si>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</si>
  <si>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</si>
  <si>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</si>
  <si>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</si>
  <si>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</si>
  <si>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</si>
  <si>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</si>
  <si>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</si>
  <si>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</si>
  <si>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</si>
  <si>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</si>
  <si>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</si>
  <si>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</si>
  <si>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</si>
  <si>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</si>
  <si>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</si>
  <si>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</si>
  <si>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</si>
  <si>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</si>
  <si>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</si>
  <si>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</si>
  <si>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</si>
  <si>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</si>
  <si>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</si>
  <si>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</si>
  <si>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</si>
  <si>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</si>
  <si>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</si>
  <si>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</si>
  <si>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</si>
  <si>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</si>
  <si>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</si>
  <si>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</si>
  <si>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</si>
  <si>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</si>
  <si>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</si>
  <si>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</si>
  <si>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</si>
  <si>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</si>
  <si>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</si>
  <si>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</si>
  <si>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</si>
  <si>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</si>
  <si>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</si>
  <si>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</si>
  <si>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</si>
  <si>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</si>
  <si>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</si>
  <si>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</si>
  <si>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</si>
  <si>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</si>
  <si>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</si>
  <si>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</si>
  <si>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</si>
  <si>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</si>
  <si>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</si>
  <si>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</si>
  <si>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</si>
  <si>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</si>
  <si>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</si>
  <si>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</si>
  <si>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</si>
  <si>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</si>
  <si>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</si>
  <si>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</si>
  <si>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</si>
  <si>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</si>
  <si>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</si>
  <si>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</si>
  <si>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</si>
  <si>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</si>
  <si>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</si>
  <si>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</si>
  <si>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</si>
  <si>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</si>
  <si>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</si>
  <si>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</si>
  <si>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</si>
  <si>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</si>
  <si>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</si>
  <si>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</si>
  <si>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</si>
  <si>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</si>
  <si>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</si>
  <si>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</si>
  <si>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</si>
  <si>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</si>
  <si>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</si>
  <si>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</si>
  <si>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</si>
  <si>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</si>
  <si>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</si>
  <si>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</si>
  <si>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</si>
  <si>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</si>
  <si>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</si>
  <si>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</si>
  <si>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</si>
  <si>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</si>
  <si>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</si>
  <si>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</si>
  <si>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</si>
  <si>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</si>
  <si>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</si>
  <si>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</si>
  <si>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</si>
  <si>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</si>
  <si>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</si>
  <si>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</si>
  <si>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</si>
  <si>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</si>
  <si>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</si>
  <si>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</si>
  <si>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</si>
  <si>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</si>
  <si>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</si>
  <si>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</si>
  <si>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</si>
  <si>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</si>
  <si>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</si>
  <si>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</si>
  <si>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</si>
  <si>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</si>
  <si>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</si>
  <si>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</si>
  <si>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</si>
  <si>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</si>
  <si>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</si>
  <si>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</si>
  <si>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</si>
  <si>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</si>
  <si>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</si>
  <si>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</si>
  <si>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</si>
  <si>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</si>
  <si>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</si>
  <si>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</si>
  <si>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</si>
  <si>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</si>
  <si>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</si>
  <si>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</si>
  <si>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</si>
  <si>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</si>
  <si>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</si>
  <si>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</si>
  <si>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</si>
  <si>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</si>
  <si>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</si>
  <si>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</si>
  <si>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</si>
  <si>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</si>
  <si>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</si>
  <si>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</si>
  <si>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</si>
  <si>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</si>
  <si>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</si>
  <si>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</si>
  <si>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</si>
  <si>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</si>
  <si>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</si>
  <si>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</si>
  <si>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</si>
  <si>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</si>
  <si>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</si>
  <si>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</si>
  <si>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</si>
  <si>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</si>
  <si>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</si>
  <si>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</si>
  <si>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</si>
  <si>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</si>
  <si>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</si>
  <si>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</si>
  <si>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</si>
  <si>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</si>
  <si>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</si>
  <si>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</si>
  <si>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</si>
  <si>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</si>
  <si>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</si>
  <si>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</si>
  <si>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</si>
  <si>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</si>
  <si>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</si>
  <si>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</si>
  <si>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</si>
  <si>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</si>
  <si>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</si>
  <si>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</si>
  <si>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</si>
  <si>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</si>
  <si>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</si>
  <si>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</si>
  <si>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</si>
  <si>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</si>
  <si>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</si>
  <si>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</si>
  <si>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</si>
  <si>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</si>
  <si>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</si>
  <si>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</si>
  <si>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</si>
  <si>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</si>
  <si>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</si>
  <si>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</si>
  <si>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</si>
  <si>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</si>
  <si>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</si>
  <si>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</si>
  <si>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</si>
  <si>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</si>
  <si>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</si>
  <si>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</si>
  <si>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</si>
  <si>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</si>
  <si>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</si>
  <si>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</si>
  <si>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</si>
  <si>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</si>
  <si>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</si>
  <si>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</si>
  <si>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</si>
  <si>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</si>
  <si>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</si>
  <si>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</si>
  <si>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</si>
  <si>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</si>
  <si>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</si>
  <si>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</si>
  <si>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</si>
  <si>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</si>
  <si>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</si>
  <si>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</si>
  <si>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</si>
  <si>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</si>
  <si>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</si>
  <si>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</si>
  <si>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</si>
  <si>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</si>
  <si>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</si>
  <si>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</si>
  <si>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</si>
  <si>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</si>
  <si>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</si>
  <si>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</si>
  <si>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</si>
  <si>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</si>
  <si>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</si>
  <si>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</si>
  <si>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</si>
  <si>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</si>
  <si>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</si>
  <si>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</si>
  <si>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</si>
  <si>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</si>
  <si>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</si>
  <si>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</si>
  <si>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</si>
  <si>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</si>
  <si>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</si>
  <si>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</si>
  <si>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</si>
  <si>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</si>
  <si>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</si>
  <si>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</si>
  <si>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</si>
  <si>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</si>
  <si>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</si>
  <si>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</si>
  <si>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</si>
  <si>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</si>
  <si>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</si>
  <si>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</si>
  <si>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</si>
  <si>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</si>
  <si>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</si>
  <si>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</si>
  <si>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</si>
  <si>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</si>
  <si>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</si>
  <si>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</si>
  <si>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</si>
  <si>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</si>
  <si>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</si>
  <si>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</si>
  <si>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</si>
  <si>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</si>
  <si>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</si>
  <si>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</si>
  <si>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</si>
  <si>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</si>
  <si>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</si>
  <si>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</si>
  <si>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</si>
  <si>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</si>
  <si>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</si>
  <si>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</si>
  <si>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</si>
  <si>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</si>
  <si>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</si>
  <si>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</si>
  <si>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</si>
  <si>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</si>
  <si>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</si>
  <si>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</si>
  <si>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</si>
  <si>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</si>
  <si>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</si>
  <si>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</si>
  <si>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</si>
  <si>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</si>
  <si>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</si>
  <si>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</si>
  <si>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</si>
  <si>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</si>
  <si>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</si>
  <si>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</si>
  <si>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</si>
  <si>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</si>
  <si>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</si>
  <si>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</si>
  <si>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</si>
  <si>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</si>
  <si>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</si>
  <si>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</si>
  <si>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</si>
  <si>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</si>
  <si>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</si>
  <si>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</si>
  <si>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</si>
  <si>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</si>
  <si>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</si>
  <si>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</si>
  <si>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</si>
  <si>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</si>
  <si>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</si>
  <si>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</si>
  <si>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</si>
  <si>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</si>
  <si>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</si>
  <si>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</si>
  <si>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</si>
  <si>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</si>
  <si>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</si>
  <si>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</si>
  <si>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</si>
  <si>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</si>
  <si>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</si>
  <si>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</si>
  <si>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</si>
  <si>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</si>
  <si>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</si>
  <si>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</si>
  <si>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</si>
  <si>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</si>
  <si>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</si>
  <si>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</si>
  <si>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</si>
  <si>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</si>
  <si>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</si>
  <si>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</si>
  <si>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</si>
  <si>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</si>
  <si>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</si>
  <si>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</si>
  <si>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</si>
  <si>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</si>
  <si>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</si>
  <si>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</si>
  <si>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</si>
  <si>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</si>
  <si>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</si>
  <si>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</si>
  <si>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</si>
  <si>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</si>
  <si>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</si>
  <si>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</si>
  <si>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</si>
  <si>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</si>
  <si>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</si>
  <si>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</si>
  <si>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</si>
  <si>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</si>
  <si>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</si>
  <si>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</si>
  <si>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</si>
  <si>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</si>
  <si>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</si>
  <si>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</si>
  <si>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</si>
  <si>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</si>
  <si>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</si>
  <si>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</si>
  <si>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</si>
  <si>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</si>
  <si>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</si>
  <si>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</si>
  <si>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</si>
  <si>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</si>
  <si>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</si>
  <si>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</si>
  <si>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</si>
  <si>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</si>
  <si>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</si>
  <si>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</si>
  <si>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</si>
  <si>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</si>
  <si>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</si>
  <si>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</si>
  <si>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</si>
  <si>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</si>
  <si>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</si>
  <si>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</si>
  <si>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</si>
  <si>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</si>
  <si>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</si>
  <si>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</si>
  <si>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</si>
  <si>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</si>
  <si>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</si>
  <si>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</si>
  <si>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</si>
  <si>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</si>
  <si>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</si>
  <si>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</si>
  <si>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</si>
  <si>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</si>
  <si>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</si>
  <si>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</si>
  <si>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</si>
  <si>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</si>
  <si>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</si>
  <si>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</si>
  <si>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</si>
  <si>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</si>
  <si>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</si>
  <si>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</si>
  <si>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</si>
  <si>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</si>
  <si>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</si>
  <si>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</si>
  <si>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</si>
  <si>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</si>
  <si>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</si>
  <si>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</si>
  <si>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</si>
  <si>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</si>
  <si>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</si>
  <si>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</si>
  <si>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</si>
  <si>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</si>
  <si>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</si>
  <si>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</si>
  <si>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</si>
  <si>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</si>
  <si>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</si>
  <si>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</si>
  <si>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</si>
  <si>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</si>
  <si>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</si>
  <si>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</si>
  <si>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</si>
  <si>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</si>
  <si>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</si>
  <si>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</si>
  <si>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</si>
  <si>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</si>
  <si>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</si>
  <si>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</si>
  <si>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</si>
  <si>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</si>
  <si>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</si>
  <si>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</si>
  <si>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</si>
  <si>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</si>
  <si>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</si>
  <si>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</si>
  <si>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</si>
  <si>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</si>
  <si>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</si>
  <si>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</si>
  <si>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</si>
  <si>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</si>
  <si>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</si>
  <si>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</si>
  <si>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</si>
  <si>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</si>
  <si>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</si>
  <si>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</si>
  <si>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</si>
  <si>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</si>
  <si>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</si>
  <si>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</si>
  <si>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</si>
  <si>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</si>
  <si>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</si>
  <si>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</si>
  <si>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</si>
  <si>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</si>
  <si>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</si>
  <si>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</si>
  <si>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</si>
  <si>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</si>
  <si>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</si>
  <si>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</si>
  <si>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</si>
  <si>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</si>
  <si>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</si>
  <si>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</si>
  <si>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</si>
  <si>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</si>
  <si>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</si>
  <si>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</si>
  <si>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</si>
  <si>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</si>
  <si>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</si>
  <si>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</si>
  <si>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</si>
  <si>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</si>
  <si>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</si>
  <si>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</si>
  <si>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</si>
  <si>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</si>
  <si>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</si>
  <si>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</si>
  <si>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</si>
  <si>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</si>
  <si>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</si>
  <si>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</si>
  <si>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</si>
  <si>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</si>
  <si>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</si>
  <si>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</si>
  <si>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</si>
  <si>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</si>
  <si>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</si>
  <si>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</si>
  <si>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</si>
  <si>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</si>
  <si>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</si>
  <si>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</si>
  <si>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</si>
  <si>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</si>
  <si>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</si>
  <si>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</si>
  <si>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</si>
  <si>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</si>
  <si>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</si>
  <si>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</si>
  <si>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</si>
  <si>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</si>
  <si>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</si>
  <si>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</si>
  <si>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</si>
  <si>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</si>
  <si>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</si>
  <si>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</si>
  <si>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</si>
  <si>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</si>
  <si>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</si>
  <si>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</si>
  <si>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</si>
  <si>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</si>
  <si>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</si>
  <si>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</si>
  <si>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</si>
  <si>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</si>
  <si>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</si>
  <si>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</si>
  <si>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</si>
  <si>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</si>
  <si>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</si>
  <si>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</si>
  <si>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</si>
  <si>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</si>
  <si>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</si>
  <si>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</si>
  <si>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</si>
  <si>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</si>
  <si>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</si>
  <si>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</si>
  <si>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</si>
  <si>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</si>
  <si>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</si>
  <si>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</si>
  <si>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</si>
  <si>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</si>
  <si>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</si>
  <si>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</si>
  <si>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</si>
  <si>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</si>
  <si>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</si>
  <si>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</si>
  <si>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</si>
  <si>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</si>
  <si>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</si>
  <si>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</si>
  <si>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</si>
  <si>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</si>
  <si>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</si>
  <si>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</si>
  <si>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</si>
  <si>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</si>
  <si>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</si>
  <si>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</si>
  <si>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</si>
  <si>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</si>
  <si>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</si>
  <si>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</si>
  <si>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</si>
  <si>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</si>
  <si>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</si>
  <si>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</si>
  <si>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</si>
  <si>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</si>
  <si>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</si>
  <si>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</si>
  <si>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</si>
  <si>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</si>
  <si>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</si>
  <si>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</si>
  <si>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</si>
  <si>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</si>
  <si>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</si>
  <si>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</si>
  <si>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</si>
  <si>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</si>
  <si>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</si>
  <si>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</si>
  <si>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</si>
  <si>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</si>
  <si>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</si>
  <si>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</si>
  <si>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</si>
  <si>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</si>
  <si>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</si>
  <si>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</si>
  <si>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</si>
  <si>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</si>
  <si>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</si>
  <si>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</si>
  <si>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</si>
  <si>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</si>
  <si>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</si>
  <si>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</si>
  <si>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</si>
  <si>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</si>
  <si>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</si>
  <si>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</si>
  <si>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</si>
  <si>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</si>
  <si>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</si>
  <si>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</si>
  <si>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</si>
  <si>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</si>
  <si>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</si>
  <si>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</si>
  <si>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</si>
  <si>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</si>
  <si>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</si>
  <si>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</si>
  <si>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</si>
  <si>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</si>
  <si>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</si>
  <si>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</si>
  <si>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</si>
  <si>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</si>
  <si>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</si>
  <si>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</si>
  <si>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</si>
  <si>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</si>
  <si>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</si>
  <si>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</si>
  <si>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</si>
  <si>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</si>
  <si>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</si>
  <si>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</si>
  <si>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</si>
  <si>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</si>
  <si>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</si>
  <si>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</si>
  <si>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</si>
  <si>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</si>
  <si>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</si>
  <si>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</si>
  <si>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</si>
  <si>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</si>
  <si>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</si>
  <si>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</si>
  <si>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</si>
  <si>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</si>
  <si>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</si>
  <si>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</si>
  <si>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</si>
  <si>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</si>
  <si>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</si>
  <si>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</si>
  <si>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</si>
  <si>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</si>
  <si>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</si>
  <si>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</si>
  <si>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</si>
  <si>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</si>
  <si>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</si>
  <si>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</si>
  <si>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</si>
  <si>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</si>
  <si>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</si>
  <si>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</si>
  <si>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</si>
  <si>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</si>
  <si>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</si>
  <si>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</si>
  <si>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</si>
  <si>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</si>
  <si>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</si>
  <si>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</si>
  <si>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</si>
  <si>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</si>
  <si>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</si>
  <si>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</si>
  <si>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</si>
  <si>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</si>
  <si>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</si>
  <si>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</si>
  <si>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</si>
  <si>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</si>
  <si>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</si>
  <si>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</si>
  <si>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</si>
  <si>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</si>
  <si>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</si>
  <si>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</si>
  <si>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</si>
  <si>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</si>
  <si>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</si>
  <si>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</si>
  <si>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</si>
  <si>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</si>
  <si>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</si>
  <si>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</si>
  <si>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</si>
  <si>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</si>
  <si>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277</t>
    <phoneticPr fontId="1"/>
  </si>
  <si>
    <t>[バニー]虹谷彩理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</si>
  <si>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</si>
  <si>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</si>
  <si>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</si>
  <si>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</si>
  <si>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</si>
  <si>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</si>
  <si>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</si>
  <si>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</si>
  <si>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</si>
  <si>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</si>
  <si>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</si>
  <si>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</si>
  <si>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</si>
  <si>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</si>
  <si>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[ポコタ]灰塚朔夜</t>
    <phoneticPr fontId="1"/>
  </si>
  <si>
    <t>はいづかさくや</t>
    <phoneticPr fontId="1"/>
  </si>
  <si>
    <t>0</t>
    <phoneticPr fontId="1"/>
  </si>
  <si>
    <t>[うなる剛速球]茂野吾郎</t>
    <phoneticPr fontId="1"/>
  </si>
  <si>
    <t>しげのごろう</t>
    <phoneticPr fontId="1"/>
  </si>
  <si>
    <t>1</t>
    <phoneticPr fontId="1"/>
  </si>
  <si>
    <t>4</t>
    <phoneticPr fontId="1"/>
  </si>
  <si>
    <t>[轟く豪打]佐藤寿也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</si>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</sst>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9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BD29A1D-FBBA-4D6C-B7B6-7DD38B820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1781</v>
      </c>
      <c r="B1" s="8" t="s">
        <v>1835</v>
      </c>
      <c r="C1" s="8" t="s">
        <v>1782</v>
      </c>
    </row>
    <row r="2" spans="1:3" x14ac:dyDescent="0.15">
      <c r="A2" s="17" t="s">
        <v>1836</v>
      </c>
      <c r="B2" s="4">
        <v>2</v>
      </c>
      <c r="C2" s="5">
        <v>17</v>
      </c>
    </row>
    <row r="3" spans="1:3" x14ac:dyDescent="0.15">
      <c r="A3" s="17" t="s">
        <v>1783</v>
      </c>
      <c r="B3" s="4">
        <v>3</v>
      </c>
      <c r="C3" s="5">
        <v>19</v>
      </c>
    </row>
    <row r="4" spans="1:3" x14ac:dyDescent="0.15">
      <c r="A4" s="17" t="s">
        <v>1784</v>
      </c>
      <c r="B4" s="4">
        <v>4</v>
      </c>
      <c r="C4" s="5">
        <v>21</v>
      </c>
    </row>
    <row r="5" spans="1:3" x14ac:dyDescent="0.15">
      <c r="A5" s="17" t="s">
        <v>1785</v>
      </c>
      <c r="B5" s="4">
        <v>5</v>
      </c>
      <c r="C5" s="5">
        <v>25</v>
      </c>
    </row>
    <row r="6" spans="1:3" x14ac:dyDescent="0.15">
      <c r="A6" s="17" t="s">
        <v>1786</v>
      </c>
      <c r="B6" s="4">
        <v>6</v>
      </c>
      <c r="C6" s="5">
        <v>28</v>
      </c>
    </row>
    <row r="7" spans="1:3" x14ac:dyDescent="0.15">
      <c r="A7" s="17" t="s">
        <v>1787</v>
      </c>
      <c r="B7" s="4">
        <v>7</v>
      </c>
      <c r="C7" s="5">
        <v>32</v>
      </c>
    </row>
    <row r="8" spans="1:3" x14ac:dyDescent="0.15">
      <c r="A8" s="17" t="s">
        <v>1788</v>
      </c>
      <c r="B8" s="4">
        <v>8</v>
      </c>
      <c r="C8" s="5">
        <v>36</v>
      </c>
    </row>
    <row r="9" spans="1:3" x14ac:dyDescent="0.15">
      <c r="A9" s="17" t="s">
        <v>1837</v>
      </c>
      <c r="B9" s="4">
        <v>4</v>
      </c>
      <c r="C9" s="5">
        <v>21</v>
      </c>
    </row>
    <row r="10" spans="1:3" x14ac:dyDescent="0.15">
      <c r="A10" s="17" t="s">
        <v>1789</v>
      </c>
      <c r="B10" s="4">
        <v>5</v>
      </c>
      <c r="C10" s="5">
        <v>24</v>
      </c>
    </row>
    <row r="11" spans="1:3" x14ac:dyDescent="0.15">
      <c r="A11" s="17" t="s">
        <v>1790</v>
      </c>
      <c r="B11" s="4">
        <v>6</v>
      </c>
      <c r="C11" s="5">
        <v>27</v>
      </c>
    </row>
    <row r="12" spans="1:3" x14ac:dyDescent="0.15">
      <c r="A12" s="17" t="s">
        <v>1791</v>
      </c>
      <c r="B12" s="4">
        <v>7</v>
      </c>
      <c r="C12" s="5">
        <v>30</v>
      </c>
    </row>
    <row r="13" spans="1:3" x14ac:dyDescent="0.15">
      <c r="A13" s="17" t="s">
        <v>1792</v>
      </c>
      <c r="B13" s="4">
        <v>8</v>
      </c>
      <c r="C13" s="5">
        <v>34</v>
      </c>
    </row>
    <row r="14" spans="1:3" x14ac:dyDescent="0.15">
      <c r="A14" s="17" t="s">
        <v>1793</v>
      </c>
      <c r="B14" s="4">
        <v>9</v>
      </c>
      <c r="C14" s="5">
        <v>38</v>
      </c>
    </row>
    <row r="15" spans="1:3" x14ac:dyDescent="0.15">
      <c r="A15" s="17" t="s">
        <v>1838</v>
      </c>
      <c r="B15" s="4">
        <v>6</v>
      </c>
      <c r="C15" s="5">
        <v>26</v>
      </c>
    </row>
    <row r="16" spans="1:3" x14ac:dyDescent="0.15">
      <c r="A16" s="17" t="s">
        <v>1794</v>
      </c>
      <c r="B16" s="4">
        <v>7</v>
      </c>
      <c r="C16" s="5">
        <v>29</v>
      </c>
    </row>
    <row r="17" spans="1:3" x14ac:dyDescent="0.15">
      <c r="A17" s="17" t="s">
        <v>1795</v>
      </c>
      <c r="B17" s="4">
        <v>8</v>
      </c>
      <c r="C17" s="5">
        <v>33</v>
      </c>
    </row>
    <row r="18" spans="1:3" x14ac:dyDescent="0.15">
      <c r="A18" s="17" t="s">
        <v>1796</v>
      </c>
      <c r="B18" s="4">
        <v>9</v>
      </c>
      <c r="C18" s="5">
        <v>37</v>
      </c>
    </row>
    <row r="19" spans="1:3" x14ac:dyDescent="0.15">
      <c r="A19" s="17" t="s">
        <v>1797</v>
      </c>
      <c r="B19" s="4">
        <v>10</v>
      </c>
      <c r="C19" s="5">
        <v>48</v>
      </c>
    </row>
    <row r="20" spans="1:3" x14ac:dyDescent="0.15">
      <c r="A20" s="17" t="s">
        <v>1839</v>
      </c>
      <c r="B20" s="4">
        <v>8</v>
      </c>
      <c r="C20" s="5">
        <v>33</v>
      </c>
    </row>
    <row r="21" spans="1:3" x14ac:dyDescent="0.15">
      <c r="A21" s="17" t="s">
        <v>1798</v>
      </c>
      <c r="B21" s="4">
        <v>9</v>
      </c>
      <c r="C21" s="5">
        <v>36</v>
      </c>
    </row>
    <row r="22" spans="1:3" x14ac:dyDescent="0.15">
      <c r="A22" s="17" t="s">
        <v>1799</v>
      </c>
      <c r="B22" s="4">
        <v>10</v>
      </c>
      <c r="C22" s="5">
        <v>47</v>
      </c>
    </row>
    <row r="23" spans="1:3" x14ac:dyDescent="0.15">
      <c r="A23" s="17" t="s">
        <v>1800</v>
      </c>
      <c r="B23" s="4">
        <v>11</v>
      </c>
      <c r="C23" s="5">
        <v>56</v>
      </c>
    </row>
    <row r="24" spans="1:3" x14ac:dyDescent="0.15">
      <c r="A24" s="17" t="s">
        <v>1840</v>
      </c>
      <c r="B24" s="4">
        <v>10</v>
      </c>
      <c r="C24" s="5">
        <v>47</v>
      </c>
    </row>
    <row r="25" spans="1:3" x14ac:dyDescent="0.15">
      <c r="A25" s="17" t="s">
        <v>1801</v>
      </c>
      <c r="B25" s="4">
        <v>11</v>
      </c>
      <c r="C25" s="5">
        <v>54</v>
      </c>
    </row>
    <row r="26" spans="1:3" x14ac:dyDescent="0.15">
      <c r="A26" s="17" t="s">
        <v>1802</v>
      </c>
      <c r="B26" s="4">
        <v>12</v>
      </c>
      <c r="C26" s="5">
        <v>63</v>
      </c>
    </row>
    <row r="27" spans="1:3" x14ac:dyDescent="0.15">
      <c r="A27" s="17" t="s">
        <v>1841</v>
      </c>
      <c r="B27" s="4">
        <v>12</v>
      </c>
      <c r="C27" s="5">
        <v>63</v>
      </c>
    </row>
    <row r="28" spans="1:3" x14ac:dyDescent="0.15">
      <c r="A28" s="17" t="s">
        <v>1803</v>
      </c>
      <c r="B28" s="4">
        <v>13</v>
      </c>
      <c r="C28" s="5">
        <v>71</v>
      </c>
    </row>
    <row r="29" spans="1:3" x14ac:dyDescent="0.15">
      <c r="A29" s="17" t="s">
        <v>1842</v>
      </c>
      <c r="B29" s="4">
        <v>14</v>
      </c>
      <c r="C29" s="5">
        <v>75</v>
      </c>
    </row>
    <row r="30" spans="1:3" x14ac:dyDescent="0.15">
      <c r="A30" s="17" t="s">
        <v>1805</v>
      </c>
      <c r="B30" s="4">
        <v>3</v>
      </c>
      <c r="C30" s="5">
        <v>19</v>
      </c>
    </row>
    <row r="31" spans="1:3" x14ac:dyDescent="0.15">
      <c r="A31" s="17" t="s">
        <v>1806</v>
      </c>
      <c r="B31" s="4">
        <v>4</v>
      </c>
      <c r="C31" s="5">
        <v>21</v>
      </c>
    </row>
    <row r="32" spans="1:3" x14ac:dyDescent="0.15">
      <c r="A32" s="17" t="s">
        <v>1807</v>
      </c>
      <c r="B32" s="4">
        <v>5</v>
      </c>
      <c r="C32" s="5">
        <v>24</v>
      </c>
    </row>
    <row r="33" spans="1:3" x14ac:dyDescent="0.15">
      <c r="A33" s="17" t="s">
        <v>1808</v>
      </c>
      <c r="B33" s="4">
        <v>6</v>
      </c>
      <c r="C33" s="5">
        <v>27</v>
      </c>
    </row>
    <row r="34" spans="1:3" x14ac:dyDescent="0.15">
      <c r="A34" s="17" t="s">
        <v>1809</v>
      </c>
      <c r="B34" s="4">
        <v>7</v>
      </c>
      <c r="C34" s="5">
        <v>30</v>
      </c>
    </row>
    <row r="35" spans="1:3" x14ac:dyDescent="0.15">
      <c r="A35" s="17" t="s">
        <v>1810</v>
      </c>
      <c r="B35" s="4">
        <v>8</v>
      </c>
      <c r="C35" s="5">
        <v>34</v>
      </c>
    </row>
    <row r="36" spans="1:3" x14ac:dyDescent="0.15">
      <c r="A36" s="17" t="s">
        <v>1811</v>
      </c>
      <c r="B36" s="4">
        <v>9</v>
      </c>
      <c r="C36" s="5">
        <v>38</v>
      </c>
    </row>
    <row r="37" spans="1:3" x14ac:dyDescent="0.15">
      <c r="A37" s="17" t="s">
        <v>1812</v>
      </c>
      <c r="B37" s="4">
        <v>5</v>
      </c>
      <c r="C37" s="5">
        <v>24</v>
      </c>
    </row>
    <row r="38" spans="1:3" x14ac:dyDescent="0.15">
      <c r="A38" s="17" t="s">
        <v>1813</v>
      </c>
      <c r="B38" s="4">
        <v>6</v>
      </c>
      <c r="C38" s="5">
        <v>26</v>
      </c>
    </row>
    <row r="39" spans="1:3" x14ac:dyDescent="0.15">
      <c r="A39" s="17" t="s">
        <v>1814</v>
      </c>
      <c r="B39" s="4">
        <v>7</v>
      </c>
      <c r="C39" s="5">
        <v>30</v>
      </c>
    </row>
    <row r="40" spans="1:3" x14ac:dyDescent="0.15">
      <c r="A40" s="17" t="s">
        <v>1815</v>
      </c>
      <c r="B40" s="4">
        <v>8</v>
      </c>
      <c r="C40" s="5">
        <v>34</v>
      </c>
    </row>
    <row r="41" spans="1:3" x14ac:dyDescent="0.15">
      <c r="A41" s="17" t="s">
        <v>1816</v>
      </c>
      <c r="B41" s="4">
        <v>9</v>
      </c>
      <c r="C41" s="5">
        <v>37</v>
      </c>
    </row>
    <row r="42" spans="1:3" x14ac:dyDescent="0.15">
      <c r="A42" s="17" t="s">
        <v>1817</v>
      </c>
      <c r="B42" s="4">
        <v>10</v>
      </c>
      <c r="C42" s="5">
        <v>49</v>
      </c>
    </row>
    <row r="43" spans="1:3" x14ac:dyDescent="0.15">
      <c r="A43" s="17" t="s">
        <v>1818</v>
      </c>
      <c r="B43" s="4">
        <v>7</v>
      </c>
      <c r="C43" s="5">
        <v>30</v>
      </c>
    </row>
    <row r="44" spans="1:3" x14ac:dyDescent="0.15">
      <c r="A44" s="17" t="s">
        <v>1819</v>
      </c>
      <c r="B44" s="4">
        <v>8</v>
      </c>
      <c r="C44" s="5">
        <v>32</v>
      </c>
    </row>
    <row r="45" spans="1:3" x14ac:dyDescent="0.15">
      <c r="A45" s="17" t="s">
        <v>1820</v>
      </c>
      <c r="B45" s="4">
        <v>9</v>
      </c>
      <c r="C45" s="5">
        <v>35</v>
      </c>
    </row>
    <row r="46" spans="1:3" x14ac:dyDescent="0.15">
      <c r="A46" s="17" t="s">
        <v>1821</v>
      </c>
      <c r="B46" s="4">
        <v>10</v>
      </c>
      <c r="C46" s="5">
        <v>47</v>
      </c>
    </row>
    <row r="47" spans="1:3" x14ac:dyDescent="0.15">
      <c r="A47" s="17" t="s">
        <v>1822</v>
      </c>
      <c r="B47" s="4">
        <v>11</v>
      </c>
      <c r="C47" s="5">
        <v>54</v>
      </c>
    </row>
    <row r="48" spans="1:3" x14ac:dyDescent="0.15">
      <c r="A48" s="17" t="s">
        <v>1823</v>
      </c>
      <c r="B48" s="4">
        <v>9</v>
      </c>
      <c r="C48" s="5">
        <v>35</v>
      </c>
    </row>
    <row r="49" spans="1:3" x14ac:dyDescent="0.15">
      <c r="A49" s="17" t="s">
        <v>1824</v>
      </c>
      <c r="B49" s="4">
        <v>10</v>
      </c>
      <c r="C49" s="5">
        <v>46</v>
      </c>
    </row>
    <row r="50" spans="1:3" x14ac:dyDescent="0.15">
      <c r="A50" s="17" t="s">
        <v>1825</v>
      </c>
      <c r="B50" s="4">
        <v>11</v>
      </c>
      <c r="C50" s="5">
        <v>54</v>
      </c>
    </row>
    <row r="51" spans="1:3" x14ac:dyDescent="0.15">
      <c r="A51" s="17" t="s">
        <v>1826</v>
      </c>
      <c r="B51" s="4">
        <v>12</v>
      </c>
      <c r="C51" s="5">
        <v>61</v>
      </c>
    </row>
    <row r="52" spans="1:3" x14ac:dyDescent="0.15">
      <c r="A52" s="17" t="s">
        <v>1827</v>
      </c>
      <c r="B52" s="4">
        <v>11</v>
      </c>
      <c r="C52" s="5">
        <v>53</v>
      </c>
    </row>
    <row r="53" spans="1:3" x14ac:dyDescent="0.15">
      <c r="A53" s="17" t="s">
        <v>1828</v>
      </c>
      <c r="B53" s="4">
        <v>12</v>
      </c>
      <c r="C53" s="5">
        <v>61</v>
      </c>
    </row>
    <row r="54" spans="1:3" x14ac:dyDescent="0.15">
      <c r="A54" s="17" t="s">
        <v>1829</v>
      </c>
      <c r="B54" s="4">
        <v>13</v>
      </c>
      <c r="C54" s="5">
        <v>69</v>
      </c>
    </row>
    <row r="55" spans="1:3" x14ac:dyDescent="0.15">
      <c r="A55" s="17" t="s">
        <v>1830</v>
      </c>
      <c r="B55" s="4">
        <v>13</v>
      </c>
      <c r="C55" s="5">
        <v>69</v>
      </c>
    </row>
    <row r="56" spans="1:3" x14ac:dyDescent="0.15">
      <c r="A56" s="17" t="s">
        <v>1831</v>
      </c>
      <c r="B56" s="4">
        <v>14</v>
      </c>
      <c r="C56" s="5">
        <v>73</v>
      </c>
    </row>
    <row r="57" spans="1:3" x14ac:dyDescent="0.15">
      <c r="A57" s="17" t="s">
        <v>1833</v>
      </c>
      <c r="B57" s="4">
        <v>13</v>
      </c>
      <c r="C57" s="5">
        <v>70</v>
      </c>
    </row>
    <row r="58" spans="1:3" x14ac:dyDescent="0.15">
      <c r="A58" s="17" t="s">
        <v>1832</v>
      </c>
      <c r="B58" s="4">
        <v>15</v>
      </c>
      <c r="C58" s="5">
        <v>77</v>
      </c>
    </row>
    <row r="59" spans="1:3" x14ac:dyDescent="0.15">
      <c r="A59" s="17" t="s">
        <v>1834</v>
      </c>
      <c r="B59" s="4">
        <v>14</v>
      </c>
      <c r="C59" s="5">
        <v>74</v>
      </c>
    </row>
    <row r="60" spans="1:3" x14ac:dyDescent="0.15">
      <c r="A60" s="17" t="s">
        <v>1879</v>
      </c>
      <c r="B60" s="4">
        <v>14</v>
      </c>
      <c r="C60" s="5">
        <v>72</v>
      </c>
    </row>
    <row r="61" spans="1:3" x14ac:dyDescent="0.15">
      <c r="A61" s="17" t="s">
        <v>1880</v>
      </c>
      <c r="B61" s="4">
        <v>15</v>
      </c>
      <c r="C61" s="5">
        <v>76</v>
      </c>
    </row>
    <row r="62" spans="1:3" x14ac:dyDescent="0.15">
      <c r="A62" s="17" t="s">
        <v>1881</v>
      </c>
      <c r="B62" s="4">
        <v>16</v>
      </c>
      <c r="C62" s="5">
        <v>80</v>
      </c>
    </row>
    <row r="63" spans="1:3" x14ac:dyDescent="0.15">
      <c r="A63" s="17" t="s">
        <v>1882</v>
      </c>
      <c r="B63" s="4">
        <v>15</v>
      </c>
      <c r="C63" s="5">
        <v>74</v>
      </c>
    </row>
    <row r="64" spans="1:3" x14ac:dyDescent="0.15">
      <c r="A64" s="17" t="s">
        <v>1883</v>
      </c>
      <c r="B64" s="4">
        <v>16</v>
      </c>
      <c r="C64" s="5">
        <v>77</v>
      </c>
    </row>
    <row r="65" spans="1:3" x14ac:dyDescent="0.15">
      <c r="A65" s="17" t="s">
        <v>1884</v>
      </c>
      <c r="B65" s="4">
        <v>17</v>
      </c>
      <c r="C65" s="5">
        <v>81</v>
      </c>
    </row>
    <row r="66" spans="1:3" x14ac:dyDescent="0.15">
      <c r="A66" s="17" t="s">
        <v>1885</v>
      </c>
      <c r="B66" s="4">
        <v>16</v>
      </c>
      <c r="C66" s="5">
        <v>77</v>
      </c>
    </row>
    <row r="67" spans="1:3" x14ac:dyDescent="0.15">
      <c r="A67" s="17" t="s">
        <v>1886</v>
      </c>
      <c r="B67" s="4">
        <v>17</v>
      </c>
      <c r="C67" s="5">
        <v>80</v>
      </c>
    </row>
    <row r="68" spans="1:3" x14ac:dyDescent="0.15">
      <c r="A68" s="17" t="s">
        <v>1843</v>
      </c>
      <c r="B68" s="4">
        <v>18</v>
      </c>
      <c r="C68" s="5">
        <v>84</v>
      </c>
    </row>
    <row r="69" spans="1:3" x14ac:dyDescent="0.15">
      <c r="A69" s="17" t="s">
        <v>1887</v>
      </c>
      <c r="B69" s="4">
        <v>17</v>
      </c>
      <c r="C69" s="5">
        <v>80</v>
      </c>
    </row>
    <row r="70" spans="1:3" x14ac:dyDescent="0.15">
      <c r="A70" s="17" t="s">
        <v>1888</v>
      </c>
      <c r="B70" s="4">
        <v>18</v>
      </c>
      <c r="C70" s="5">
        <v>83</v>
      </c>
    </row>
    <row r="71" spans="1:3" x14ac:dyDescent="0.15">
      <c r="A71" s="17" t="s">
        <v>1844</v>
      </c>
      <c r="B71" s="4">
        <v>19</v>
      </c>
      <c r="C71" s="5">
        <v>87</v>
      </c>
    </row>
    <row r="72" spans="1:3" x14ac:dyDescent="0.15">
      <c r="A72" s="17" t="s">
        <v>1889</v>
      </c>
      <c r="B72" s="4">
        <v>18</v>
      </c>
      <c r="C72" s="5">
        <v>83</v>
      </c>
    </row>
    <row r="73" spans="1:3" x14ac:dyDescent="0.15">
      <c r="A73" s="17" t="s">
        <v>1890</v>
      </c>
      <c r="B73" s="4">
        <v>19</v>
      </c>
      <c r="C73" s="5">
        <v>87</v>
      </c>
    </row>
    <row r="74" spans="1:3" x14ac:dyDescent="0.15">
      <c r="A74" s="17" t="s">
        <v>1891</v>
      </c>
      <c r="B74" s="4">
        <v>20</v>
      </c>
      <c r="C74" s="5">
        <v>91</v>
      </c>
    </row>
    <row r="75" spans="1:3" x14ac:dyDescent="0.15">
      <c r="A75" s="17" t="s">
        <v>1892</v>
      </c>
      <c r="B75" s="4">
        <v>19</v>
      </c>
      <c r="C75" s="5">
        <v>87</v>
      </c>
    </row>
    <row r="76" spans="1:3" x14ac:dyDescent="0.15">
      <c r="A76" s="17" t="s">
        <v>1893</v>
      </c>
      <c r="B76" s="4">
        <v>20</v>
      </c>
      <c r="C76" s="5">
        <v>91</v>
      </c>
    </row>
    <row r="77" spans="1:3" x14ac:dyDescent="0.15">
      <c r="A77" s="17" t="s">
        <v>1894</v>
      </c>
      <c r="B77" s="4">
        <v>21</v>
      </c>
      <c r="C77" s="5">
        <v>94</v>
      </c>
    </row>
    <row r="78" spans="1:3" x14ac:dyDescent="0.15">
      <c r="A78" s="17" t="s">
        <v>1895</v>
      </c>
      <c r="B78" s="4">
        <v>22</v>
      </c>
      <c r="C78" s="5">
        <v>99</v>
      </c>
    </row>
    <row r="79" spans="1:3" x14ac:dyDescent="0.15">
      <c r="A79" s="17" t="s">
        <v>1845</v>
      </c>
      <c r="B79" s="4">
        <v>18</v>
      </c>
      <c r="C79" s="5">
        <v>85</v>
      </c>
    </row>
    <row r="80" spans="1:3" x14ac:dyDescent="0.15">
      <c r="A80" s="17" t="s">
        <v>1846</v>
      </c>
      <c r="B80" s="4">
        <v>3</v>
      </c>
      <c r="C80" s="5">
        <v>20</v>
      </c>
    </row>
    <row r="81" spans="1:3" x14ac:dyDescent="0.15">
      <c r="A81" s="17" t="s">
        <v>1847</v>
      </c>
      <c r="B81" s="4">
        <v>4</v>
      </c>
      <c r="C81" s="5">
        <v>22</v>
      </c>
    </row>
    <row r="82" spans="1:3" x14ac:dyDescent="0.15">
      <c r="A82" s="17" t="s">
        <v>1848</v>
      </c>
      <c r="B82" s="4">
        <v>5</v>
      </c>
      <c r="C82" s="5">
        <v>25</v>
      </c>
    </row>
    <row r="83" spans="1:3" x14ac:dyDescent="0.15">
      <c r="A83" s="17" t="s">
        <v>1849</v>
      </c>
      <c r="B83" s="4">
        <v>6</v>
      </c>
      <c r="C83" s="5">
        <v>28</v>
      </c>
    </row>
    <row r="84" spans="1:3" x14ac:dyDescent="0.15">
      <c r="A84" s="17" t="s">
        <v>1850</v>
      </c>
      <c r="B84" s="4">
        <v>7</v>
      </c>
      <c r="C84" s="5">
        <v>31</v>
      </c>
    </row>
    <row r="85" spans="1:3" x14ac:dyDescent="0.15">
      <c r="A85" s="17" t="s">
        <v>1851</v>
      </c>
      <c r="B85" s="4">
        <v>8</v>
      </c>
      <c r="C85" s="5">
        <v>35</v>
      </c>
    </row>
    <row r="86" spans="1:3" x14ac:dyDescent="0.15">
      <c r="A86" s="17" t="s">
        <v>1852</v>
      </c>
      <c r="B86" s="4">
        <v>9</v>
      </c>
      <c r="C86" s="5">
        <v>39</v>
      </c>
    </row>
    <row r="87" spans="1:3" x14ac:dyDescent="0.15">
      <c r="A87" s="17" t="s">
        <v>1853</v>
      </c>
      <c r="B87" s="4">
        <v>5</v>
      </c>
      <c r="C87" s="5">
        <v>25</v>
      </c>
    </row>
    <row r="88" spans="1:3" x14ac:dyDescent="0.15">
      <c r="A88" s="17" t="s">
        <v>1854</v>
      </c>
      <c r="B88" s="4">
        <v>6</v>
      </c>
      <c r="C88" s="5">
        <v>27</v>
      </c>
    </row>
    <row r="89" spans="1:3" x14ac:dyDescent="0.15">
      <c r="A89" s="17" t="s">
        <v>1855</v>
      </c>
      <c r="B89" s="4">
        <v>7</v>
      </c>
      <c r="C89" s="5">
        <v>31</v>
      </c>
    </row>
    <row r="90" spans="1:3" x14ac:dyDescent="0.15">
      <c r="A90" s="17" t="s">
        <v>1856</v>
      </c>
      <c r="B90" s="4">
        <v>8</v>
      </c>
      <c r="C90" s="5">
        <v>35</v>
      </c>
    </row>
    <row r="91" spans="1:3" x14ac:dyDescent="0.15">
      <c r="A91" s="17" t="s">
        <v>1857</v>
      </c>
      <c r="B91" s="4">
        <v>9</v>
      </c>
      <c r="C91" s="5">
        <v>38</v>
      </c>
    </row>
    <row r="92" spans="1:3" x14ac:dyDescent="0.15">
      <c r="A92" s="17" t="s">
        <v>1858</v>
      </c>
      <c r="B92" s="4">
        <v>10</v>
      </c>
      <c r="C92" s="5">
        <v>50</v>
      </c>
    </row>
    <row r="93" spans="1:3" x14ac:dyDescent="0.15">
      <c r="A93" s="17" t="s">
        <v>1859</v>
      </c>
      <c r="B93" s="4">
        <v>7</v>
      </c>
      <c r="C93" s="5">
        <v>31</v>
      </c>
    </row>
    <row r="94" spans="1:3" x14ac:dyDescent="0.15">
      <c r="A94" s="17" t="s">
        <v>1860</v>
      </c>
      <c r="B94" s="4">
        <v>8</v>
      </c>
      <c r="C94" s="5">
        <v>33</v>
      </c>
    </row>
    <row r="95" spans="1:3" x14ac:dyDescent="0.15">
      <c r="A95" s="17" t="s">
        <v>1861</v>
      </c>
      <c r="B95" s="4">
        <v>9</v>
      </c>
      <c r="C95" s="5">
        <v>36</v>
      </c>
    </row>
    <row r="96" spans="1:3" x14ac:dyDescent="0.15">
      <c r="A96" s="17" t="s">
        <v>1862</v>
      </c>
      <c r="B96" s="4">
        <v>10</v>
      </c>
      <c r="C96" s="5">
        <v>48</v>
      </c>
    </row>
    <row r="97" spans="1:3" x14ac:dyDescent="0.15">
      <c r="A97" s="17" t="s">
        <v>1863</v>
      </c>
      <c r="B97" s="4">
        <v>11</v>
      </c>
      <c r="C97" s="5">
        <v>55</v>
      </c>
    </row>
    <row r="98" spans="1:3" x14ac:dyDescent="0.15">
      <c r="A98" s="17" t="s">
        <v>1864</v>
      </c>
      <c r="B98" s="4">
        <v>9</v>
      </c>
      <c r="C98" s="5">
        <v>36</v>
      </c>
    </row>
    <row r="99" spans="1:3" x14ac:dyDescent="0.15">
      <c r="A99" s="17" t="s">
        <v>1865</v>
      </c>
      <c r="B99" s="4">
        <v>10</v>
      </c>
      <c r="C99" s="5">
        <v>47</v>
      </c>
    </row>
    <row r="100" spans="1:3" x14ac:dyDescent="0.15">
      <c r="A100" s="17" t="s">
        <v>1866</v>
      </c>
      <c r="B100" s="4">
        <v>11</v>
      </c>
      <c r="C100" s="5">
        <v>55</v>
      </c>
    </row>
    <row r="101" spans="1:3" x14ac:dyDescent="0.15">
      <c r="A101" s="17" t="s">
        <v>1867</v>
      </c>
      <c r="B101" s="4">
        <v>12</v>
      </c>
      <c r="C101" s="5">
        <v>62</v>
      </c>
    </row>
    <row r="102" spans="1:3" x14ac:dyDescent="0.15">
      <c r="A102" s="17" t="s">
        <v>1868</v>
      </c>
      <c r="B102" s="4">
        <v>11</v>
      </c>
      <c r="C102" s="5">
        <v>54</v>
      </c>
    </row>
    <row r="103" spans="1:3" x14ac:dyDescent="0.15">
      <c r="A103" s="17" t="s">
        <v>1869</v>
      </c>
      <c r="B103" s="4">
        <v>12</v>
      </c>
      <c r="C103" s="5">
        <v>62</v>
      </c>
    </row>
    <row r="104" spans="1:3" x14ac:dyDescent="0.15">
      <c r="A104" s="17" t="s">
        <v>1870</v>
      </c>
      <c r="B104" s="4">
        <v>13</v>
      </c>
      <c r="C104" s="5">
        <v>70</v>
      </c>
    </row>
    <row r="105" spans="1:3" x14ac:dyDescent="0.15">
      <c r="A105" s="17" t="s">
        <v>1871</v>
      </c>
      <c r="B105" s="4">
        <v>13</v>
      </c>
      <c r="C105" s="5">
        <v>70</v>
      </c>
    </row>
    <row r="106" spans="1:3" x14ac:dyDescent="0.15">
      <c r="A106" s="17" t="s">
        <v>1872</v>
      </c>
      <c r="B106" s="4">
        <v>14</v>
      </c>
      <c r="C106" s="5">
        <v>74</v>
      </c>
    </row>
    <row r="107" spans="1:3" x14ac:dyDescent="0.15">
      <c r="A107" s="17" t="s">
        <v>1873</v>
      </c>
      <c r="B107" s="4">
        <v>13</v>
      </c>
      <c r="C107" s="5">
        <v>71</v>
      </c>
    </row>
    <row r="108" spans="1:3" x14ac:dyDescent="0.15">
      <c r="A108" s="17" t="s">
        <v>1874</v>
      </c>
      <c r="B108" s="4">
        <v>15</v>
      </c>
      <c r="C108" s="5">
        <v>78</v>
      </c>
    </row>
    <row r="109" spans="1:3" x14ac:dyDescent="0.15">
      <c r="A109" s="17" t="s">
        <v>1875</v>
      </c>
      <c r="B109" s="4">
        <v>14</v>
      </c>
      <c r="C109" s="5">
        <v>75</v>
      </c>
    </row>
    <row r="110" spans="1:3" x14ac:dyDescent="0.15">
      <c r="A110" s="17" t="s">
        <v>1896</v>
      </c>
      <c r="B110" s="4">
        <v>14</v>
      </c>
      <c r="C110" s="5">
        <v>73</v>
      </c>
    </row>
    <row r="111" spans="1:3" x14ac:dyDescent="0.15">
      <c r="A111" s="17" t="s">
        <v>1897</v>
      </c>
      <c r="B111" s="4">
        <v>15</v>
      </c>
      <c r="C111" s="5">
        <v>77</v>
      </c>
    </row>
    <row r="112" spans="1:3" x14ac:dyDescent="0.15">
      <c r="A112" s="17" t="s">
        <v>1898</v>
      </c>
      <c r="B112" s="4">
        <v>16</v>
      </c>
      <c r="C112" s="5">
        <v>81</v>
      </c>
    </row>
    <row r="113" spans="1:3" x14ac:dyDescent="0.15">
      <c r="A113" s="17" t="s">
        <v>1899</v>
      </c>
      <c r="B113" s="4">
        <v>15</v>
      </c>
      <c r="C113" s="5">
        <v>75</v>
      </c>
    </row>
    <row r="114" spans="1:3" x14ac:dyDescent="0.15">
      <c r="A114" s="17" t="s">
        <v>1900</v>
      </c>
      <c r="B114" s="4">
        <v>16</v>
      </c>
      <c r="C114" s="5">
        <v>78</v>
      </c>
    </row>
    <row r="115" spans="1:3" x14ac:dyDescent="0.15">
      <c r="A115" s="17" t="s">
        <v>1901</v>
      </c>
      <c r="B115" s="4">
        <v>17</v>
      </c>
      <c r="C115" s="5">
        <v>82</v>
      </c>
    </row>
    <row r="116" spans="1:3" x14ac:dyDescent="0.15">
      <c r="A116" s="17" t="s">
        <v>1902</v>
      </c>
      <c r="B116" s="4">
        <v>16</v>
      </c>
      <c r="C116" s="5">
        <v>78</v>
      </c>
    </row>
    <row r="117" spans="1:3" x14ac:dyDescent="0.15">
      <c r="A117" s="17" t="s">
        <v>1903</v>
      </c>
      <c r="B117" s="4">
        <v>17</v>
      </c>
      <c r="C117" s="5">
        <v>81</v>
      </c>
    </row>
    <row r="118" spans="1:3" x14ac:dyDescent="0.15">
      <c r="A118" s="17" t="s">
        <v>1876</v>
      </c>
      <c r="B118" s="4">
        <v>18</v>
      </c>
      <c r="C118" s="5">
        <v>85</v>
      </c>
    </row>
    <row r="119" spans="1:3" x14ac:dyDescent="0.15">
      <c r="A119" s="17" t="s">
        <v>1904</v>
      </c>
      <c r="B119" s="4">
        <v>17</v>
      </c>
      <c r="C119" s="5">
        <v>81</v>
      </c>
    </row>
    <row r="120" spans="1:3" x14ac:dyDescent="0.15">
      <c r="A120" s="17" t="s">
        <v>1905</v>
      </c>
      <c r="B120" s="4">
        <v>18</v>
      </c>
      <c r="C120" s="5">
        <v>84</v>
      </c>
    </row>
    <row r="121" spans="1:3" x14ac:dyDescent="0.15">
      <c r="A121" s="17" t="s">
        <v>1906</v>
      </c>
      <c r="B121" s="4">
        <v>19</v>
      </c>
      <c r="C121" s="5">
        <v>88</v>
      </c>
    </row>
    <row r="122" spans="1:3" x14ac:dyDescent="0.15">
      <c r="A122" s="17" t="s">
        <v>1877</v>
      </c>
      <c r="B122" s="4">
        <v>19</v>
      </c>
      <c r="C122" s="5">
        <v>88</v>
      </c>
    </row>
    <row r="123" spans="1:3" x14ac:dyDescent="0.15">
      <c r="A123" s="17" t="s">
        <v>1907</v>
      </c>
      <c r="B123" s="4">
        <v>18</v>
      </c>
      <c r="C123" s="5">
        <v>84</v>
      </c>
    </row>
    <row r="124" spans="1:3" x14ac:dyDescent="0.15">
      <c r="A124" s="17" t="s">
        <v>1908</v>
      </c>
      <c r="B124" s="4">
        <v>19</v>
      </c>
      <c r="C124" s="5">
        <v>88</v>
      </c>
    </row>
    <row r="125" spans="1:3" x14ac:dyDescent="0.15">
      <c r="A125" s="17" t="s">
        <v>1909</v>
      </c>
      <c r="B125" s="4">
        <v>20</v>
      </c>
      <c r="C125" s="5">
        <v>92</v>
      </c>
    </row>
    <row r="126" spans="1:3" x14ac:dyDescent="0.15">
      <c r="A126" s="17" t="s">
        <v>1910</v>
      </c>
      <c r="B126" s="4">
        <v>19</v>
      </c>
      <c r="C126" s="5">
        <v>88</v>
      </c>
    </row>
    <row r="127" spans="1:3" x14ac:dyDescent="0.15">
      <c r="A127" s="17" t="s">
        <v>1911</v>
      </c>
      <c r="B127" s="4">
        <v>20</v>
      </c>
      <c r="C127" s="5">
        <v>92</v>
      </c>
    </row>
    <row r="128" spans="1:3" x14ac:dyDescent="0.15">
      <c r="A128" s="17" t="s">
        <v>1912</v>
      </c>
      <c r="B128" s="4">
        <v>21</v>
      </c>
      <c r="C128" s="5">
        <v>95</v>
      </c>
    </row>
    <row r="129" spans="1:3" x14ac:dyDescent="0.15">
      <c r="A129" s="17" t="s">
        <v>1913</v>
      </c>
      <c r="B129" s="4">
        <v>22</v>
      </c>
      <c r="C129" s="5">
        <v>100</v>
      </c>
    </row>
    <row r="130" spans="1:3" x14ac:dyDescent="0.15">
      <c r="A130" s="17" t="s">
        <v>1878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1782</v>
      </c>
      <c r="B1" s="8" t="s">
        <v>1804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2"/>
  <sheetViews>
    <sheetView topLeftCell="A124" workbookViewId="0">
      <selection activeCell="B7" sqref="B7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  <row r="142" spans="1:5" x14ac:dyDescent="0.15">
      <c r="A142">
        <v>140</v>
      </c>
      <c r="B142" t="s">
        <v>1919</v>
      </c>
      <c r="C142">
        <v>4</v>
      </c>
      <c r="D142" t="s">
        <v>1920</v>
      </c>
      <c r="E142">
        <v>44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2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A127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tr">
        <f>A128</f>
        <v>S056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s="4" customFormat="1" ht="12" customHeight="1" x14ac:dyDescent="0.15">
      <c r="A127" s="3" t="s">
        <v>1914</v>
      </c>
      <c r="B127" s="4">
        <f>ABILITY_HEADER!A44</f>
        <v>42</v>
      </c>
      <c r="C127" s="16" t="s">
        <v>1915</v>
      </c>
      <c r="D127" s="4">
        <v>31</v>
      </c>
      <c r="E127" s="4">
        <v>83</v>
      </c>
      <c r="F127" s="4">
        <v>31</v>
      </c>
      <c r="G127" s="4">
        <v>0</v>
      </c>
      <c r="H127" s="4">
        <v>43</v>
      </c>
      <c r="I127" s="16" t="str">
        <f>A51</f>
        <v>A050</v>
      </c>
      <c r="J127" s="16" t="s">
        <v>1916</v>
      </c>
      <c r="K127" s="16">
        <v>66.64</v>
      </c>
      <c r="L127" s="5">
        <v>1</v>
      </c>
    </row>
    <row r="128" spans="1:12" s="4" customFormat="1" ht="12" customHeight="1" x14ac:dyDescent="0.15">
      <c r="A128" s="3" t="s">
        <v>1917</v>
      </c>
      <c r="B128" s="4">
        <f>ABILITY_HEADER!A124</f>
        <v>122</v>
      </c>
      <c r="C128" s="16" t="s">
        <v>1918</v>
      </c>
      <c r="D128" s="4">
        <v>38</v>
      </c>
      <c r="E128" s="4">
        <v>25</v>
      </c>
      <c r="F128" s="4">
        <v>63</v>
      </c>
      <c r="G128" s="4">
        <v>0</v>
      </c>
      <c r="H128" s="4">
        <v>0</v>
      </c>
      <c r="I128" s="16" t="str">
        <f>A66</f>
        <v>A065</v>
      </c>
      <c r="J128" s="4" t="s">
        <v>301</v>
      </c>
      <c r="K128" s="4">
        <v>70.56</v>
      </c>
      <c r="L128" s="5">
        <v>1</v>
      </c>
    </row>
    <row r="129" spans="1:12" x14ac:dyDescent="0.15">
      <c r="A129" s="13" t="s">
        <v>590</v>
      </c>
      <c r="B129" s="14">
        <f>ABILITY_HEADER!A2</f>
        <v>0</v>
      </c>
      <c r="C129" s="14" t="s">
        <v>87</v>
      </c>
      <c r="D129" s="14">
        <v>0</v>
      </c>
      <c r="E129" s="14">
        <v>10</v>
      </c>
      <c r="F129" s="14">
        <v>20</v>
      </c>
      <c r="G129" s="14">
        <v>0</v>
      </c>
      <c r="H129" s="14">
        <v>70</v>
      </c>
      <c r="I129" s="14" t="str">
        <f>A130</f>
        <v>B002</v>
      </c>
      <c r="J129" s="14" t="s">
        <v>301</v>
      </c>
      <c r="K129" s="14">
        <v>0</v>
      </c>
      <c r="L129" s="15">
        <v>2</v>
      </c>
    </row>
    <row r="130" spans="1:12" x14ac:dyDescent="0.15">
      <c r="A130" s="3" t="s">
        <v>279</v>
      </c>
      <c r="B130" s="4">
        <f>ABILITY_HEADER!A2</f>
        <v>0</v>
      </c>
      <c r="C130" s="4" t="s">
        <v>88</v>
      </c>
      <c r="D130" s="4">
        <v>0</v>
      </c>
      <c r="E130" s="4">
        <v>5</v>
      </c>
      <c r="F130" s="4">
        <v>10</v>
      </c>
      <c r="G130" s="4">
        <v>0</v>
      </c>
      <c r="H130" s="4">
        <v>35</v>
      </c>
      <c r="I130" s="4" t="s">
        <v>301</v>
      </c>
      <c r="J130" s="4" t="str">
        <f>A129</f>
        <v>B001</v>
      </c>
      <c r="K130" s="4">
        <v>0</v>
      </c>
      <c r="L130" s="5">
        <v>2</v>
      </c>
    </row>
    <row r="131" spans="1:12" x14ac:dyDescent="0.15">
      <c r="A131" s="3" t="s">
        <v>280</v>
      </c>
      <c r="B131" s="4">
        <f>ABILITY_HEADER!A3</f>
        <v>1</v>
      </c>
      <c r="C131" s="4" t="s">
        <v>89</v>
      </c>
      <c r="D131" s="4">
        <v>32</v>
      </c>
      <c r="E131" s="4">
        <v>20</v>
      </c>
      <c r="F131" s="4">
        <v>48</v>
      </c>
      <c r="G131" s="4">
        <v>0</v>
      </c>
      <c r="H131" s="4">
        <v>0</v>
      </c>
      <c r="I131" s="4" t="str">
        <f>A132</f>
        <v>B004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477</v>
      </c>
      <c r="B132" s="4">
        <f>ABILITY_HEADER!A3</f>
        <v>1</v>
      </c>
      <c r="C132" s="4" t="s">
        <v>90</v>
      </c>
      <c r="D132" s="4">
        <v>16</v>
      </c>
      <c r="E132" s="4">
        <v>10</v>
      </c>
      <c r="F132" s="4">
        <v>24</v>
      </c>
      <c r="G132" s="4">
        <v>0</v>
      </c>
      <c r="H132" s="4">
        <v>0</v>
      </c>
      <c r="I132" s="4" t="s">
        <v>301</v>
      </c>
      <c r="J132" s="4" t="str">
        <f>A131</f>
        <v>B003</v>
      </c>
      <c r="K132" s="4">
        <v>0</v>
      </c>
      <c r="L132" s="5">
        <v>2</v>
      </c>
    </row>
    <row r="133" spans="1:12" x14ac:dyDescent="0.15">
      <c r="A133" s="3" t="s">
        <v>281</v>
      </c>
      <c r="B133" s="4">
        <f>ABILITY_HEADER!A4</f>
        <v>2</v>
      </c>
      <c r="C133" s="4" t="s">
        <v>41</v>
      </c>
      <c r="D133" s="4">
        <v>0</v>
      </c>
      <c r="E133" s="4">
        <v>72</v>
      </c>
      <c r="F133" s="4">
        <v>32</v>
      </c>
      <c r="G133" s="4">
        <v>0</v>
      </c>
      <c r="H133" s="4">
        <v>28</v>
      </c>
      <c r="I133" s="4" t="str">
        <f>A134</f>
        <v>B006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282</v>
      </c>
      <c r="B134" s="4">
        <f>ABILITY_HEADER!A4</f>
        <v>2</v>
      </c>
      <c r="C134" s="4" t="s">
        <v>43</v>
      </c>
      <c r="D134" s="4">
        <v>0</v>
      </c>
      <c r="E134" s="4">
        <v>36</v>
      </c>
      <c r="F134" s="4">
        <v>16</v>
      </c>
      <c r="G134" s="4">
        <v>0</v>
      </c>
      <c r="H134" s="4">
        <v>14</v>
      </c>
      <c r="I134" s="4" t="s">
        <v>301</v>
      </c>
      <c r="J134" s="4" t="str">
        <f>A133</f>
        <v>B005</v>
      </c>
      <c r="K134" s="4">
        <v>0</v>
      </c>
      <c r="L134" s="5">
        <v>2</v>
      </c>
    </row>
    <row r="135" spans="1:12" x14ac:dyDescent="0.15">
      <c r="A135" s="3" t="s">
        <v>283</v>
      </c>
      <c r="B135" s="4">
        <f>ABILITY_HEADER!A5</f>
        <v>3</v>
      </c>
      <c r="C135" s="4" t="s">
        <v>93</v>
      </c>
      <c r="D135" s="4">
        <v>0</v>
      </c>
      <c r="E135" s="4">
        <v>48</v>
      </c>
      <c r="F135" s="4">
        <v>32</v>
      </c>
      <c r="G135" s="4">
        <v>0</v>
      </c>
      <c r="H135" s="4">
        <v>20</v>
      </c>
      <c r="I135" s="4" t="str">
        <f>A136</f>
        <v>B008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284</v>
      </c>
      <c r="B136" s="4">
        <f>ABILITY_HEADER!A5</f>
        <v>3</v>
      </c>
      <c r="C136" s="4" t="s">
        <v>94</v>
      </c>
      <c r="D136" s="4">
        <v>0</v>
      </c>
      <c r="E136" s="4">
        <v>24</v>
      </c>
      <c r="F136" s="4">
        <v>16</v>
      </c>
      <c r="G136" s="4">
        <v>0</v>
      </c>
      <c r="H136" s="4">
        <v>10</v>
      </c>
      <c r="I136" s="4" t="s">
        <v>301</v>
      </c>
      <c r="J136" s="4" t="str">
        <f>A135</f>
        <v>B007</v>
      </c>
      <c r="K136" s="4">
        <v>0</v>
      </c>
      <c r="L136" s="5">
        <v>2</v>
      </c>
    </row>
    <row r="137" spans="1:12" x14ac:dyDescent="0.15">
      <c r="A137" s="3" t="s">
        <v>285</v>
      </c>
      <c r="B137" s="4">
        <f>ABILITY_HEADER!A6</f>
        <v>4</v>
      </c>
      <c r="C137" s="4" t="s">
        <v>95</v>
      </c>
      <c r="D137" s="4">
        <v>32</v>
      </c>
      <c r="E137" s="4">
        <v>32</v>
      </c>
      <c r="F137" s="4">
        <v>32</v>
      </c>
      <c r="G137" s="4">
        <v>0</v>
      </c>
      <c r="H137" s="4">
        <v>0</v>
      </c>
      <c r="I137" s="4" t="str">
        <f>A138</f>
        <v>B010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286</v>
      </c>
      <c r="B138" s="4">
        <f>ABILITY_HEADER!A6</f>
        <v>4</v>
      </c>
      <c r="C138" s="4" t="s">
        <v>96</v>
      </c>
      <c r="D138" s="4">
        <v>16</v>
      </c>
      <c r="E138" s="4">
        <v>16</v>
      </c>
      <c r="F138" s="4">
        <v>16</v>
      </c>
      <c r="G138" s="4">
        <v>0</v>
      </c>
      <c r="H138" s="4">
        <v>0</v>
      </c>
      <c r="I138" s="4" t="s">
        <v>301</v>
      </c>
      <c r="J138" s="4" t="str">
        <f>A137</f>
        <v>B009</v>
      </c>
      <c r="K138" s="4">
        <v>0</v>
      </c>
      <c r="L138" s="5">
        <v>2</v>
      </c>
    </row>
    <row r="139" spans="1:12" x14ac:dyDescent="0.15">
      <c r="A139" s="3" t="s">
        <v>287</v>
      </c>
      <c r="B139" s="4">
        <f>ABILITY_HEADER!A7</f>
        <v>5</v>
      </c>
      <c r="C139" s="4" t="s">
        <v>97</v>
      </c>
      <c r="D139" s="4">
        <v>70</v>
      </c>
      <c r="E139" s="4">
        <v>0</v>
      </c>
      <c r="F139" s="4">
        <v>0</v>
      </c>
      <c r="G139" s="4">
        <v>0</v>
      </c>
      <c r="H139" s="4">
        <v>30</v>
      </c>
      <c r="I139" s="4" t="str">
        <f>A140</f>
        <v>B012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288</v>
      </c>
      <c r="B140" s="4">
        <f>ABILITY_HEADER!A7</f>
        <v>5</v>
      </c>
      <c r="C140" s="4" t="s">
        <v>98</v>
      </c>
      <c r="D140" s="4">
        <v>35</v>
      </c>
      <c r="E140" s="4">
        <v>0</v>
      </c>
      <c r="F140" s="4">
        <v>0</v>
      </c>
      <c r="G140" s="4">
        <v>0</v>
      </c>
      <c r="H140" s="4">
        <v>15</v>
      </c>
      <c r="I140" s="4" t="s">
        <v>301</v>
      </c>
      <c r="J140" s="4" t="str">
        <f>A139</f>
        <v>B011</v>
      </c>
      <c r="K140" s="4">
        <v>0</v>
      </c>
      <c r="L140" s="5">
        <v>2</v>
      </c>
    </row>
    <row r="141" spans="1:12" x14ac:dyDescent="0.15">
      <c r="A141" s="3" t="s">
        <v>289</v>
      </c>
      <c r="B141" s="4">
        <f>ABILITY_HEADER!A8</f>
        <v>6</v>
      </c>
      <c r="C141" s="4" t="s">
        <v>91</v>
      </c>
      <c r="D141" s="4">
        <v>6</v>
      </c>
      <c r="E141" s="4">
        <v>18</v>
      </c>
      <c r="F141" s="4">
        <v>50</v>
      </c>
      <c r="G141" s="4">
        <v>0</v>
      </c>
      <c r="H141" s="4">
        <v>50</v>
      </c>
      <c r="I141" s="4" t="str">
        <f>A142</f>
        <v>B014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290</v>
      </c>
      <c r="B142" s="4">
        <f>ABILITY_HEADER!A8</f>
        <v>6</v>
      </c>
      <c r="C142" s="4" t="s">
        <v>92</v>
      </c>
      <c r="D142" s="4">
        <v>3</v>
      </c>
      <c r="E142" s="4">
        <v>9</v>
      </c>
      <c r="F142" s="4">
        <v>25</v>
      </c>
      <c r="G142" s="4">
        <v>0</v>
      </c>
      <c r="H142" s="4">
        <v>25</v>
      </c>
      <c r="I142" s="4" t="s">
        <v>301</v>
      </c>
      <c r="J142" s="4" t="str">
        <f>A141</f>
        <v>B013</v>
      </c>
      <c r="K142" s="4">
        <v>0</v>
      </c>
      <c r="L142" s="5">
        <v>2</v>
      </c>
    </row>
    <row r="143" spans="1:12" ht="12.75" customHeight="1" x14ac:dyDescent="0.15">
      <c r="A143" s="3" t="s">
        <v>291</v>
      </c>
      <c r="B143" s="4">
        <f>ABILITY_HEADER!A31</f>
        <v>29</v>
      </c>
      <c r="C143" s="4" t="s">
        <v>38</v>
      </c>
      <c r="D143" s="4">
        <v>0</v>
      </c>
      <c r="E143" s="4">
        <v>13</v>
      </c>
      <c r="F143" s="4">
        <v>0</v>
      </c>
      <c r="G143" s="4">
        <v>0</v>
      </c>
      <c r="H143" s="4">
        <v>50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292</v>
      </c>
      <c r="B144" s="4">
        <f>ABILITY_HEADER!A46</f>
        <v>44</v>
      </c>
      <c r="C144" s="4" t="s">
        <v>42</v>
      </c>
      <c r="D144" s="4">
        <v>0</v>
      </c>
      <c r="E144" s="4">
        <v>0</v>
      </c>
      <c r="F144" s="4">
        <v>31</v>
      </c>
      <c r="G144" s="4">
        <v>0</v>
      </c>
      <c r="H144" s="4">
        <v>0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293</v>
      </c>
      <c r="B145" s="4">
        <f>ABILITY_HEADER!A47</f>
        <v>45</v>
      </c>
      <c r="C145" s="4" t="s">
        <v>39</v>
      </c>
      <c r="D145" s="4">
        <v>6</v>
      </c>
      <c r="E145" s="4">
        <v>0</v>
      </c>
      <c r="F145" s="4">
        <v>13</v>
      </c>
      <c r="G145" s="4">
        <v>0</v>
      </c>
      <c r="H145" s="4">
        <v>13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294</v>
      </c>
      <c r="B146" s="4">
        <f>ABILITY_HEADER!A48</f>
        <v>46</v>
      </c>
      <c r="C146" s="4" t="s">
        <v>40</v>
      </c>
      <c r="D146" s="4">
        <v>0</v>
      </c>
      <c r="E146" s="4">
        <v>0</v>
      </c>
      <c r="F146" s="4">
        <v>6</v>
      </c>
      <c r="G146" s="4">
        <v>0</v>
      </c>
      <c r="H146" s="4">
        <v>25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295</v>
      </c>
      <c r="B147" s="4">
        <f>ABILITY_HEADER!A63</f>
        <v>61</v>
      </c>
      <c r="C147" s="4" t="s">
        <v>143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7" t="s">
        <v>296</v>
      </c>
      <c r="B148" s="8">
        <f>ABILITY_HEADER!A51</f>
        <v>49</v>
      </c>
      <c r="C148" s="8" t="s">
        <v>99</v>
      </c>
      <c r="D148" s="8">
        <v>0</v>
      </c>
      <c r="E148" s="8">
        <v>0</v>
      </c>
      <c r="F148" s="8">
        <v>100</v>
      </c>
      <c r="G148" s="8">
        <v>0</v>
      </c>
      <c r="H148" s="8">
        <v>0</v>
      </c>
      <c r="I148" s="8" t="s">
        <v>301</v>
      </c>
      <c r="J148" s="8" t="s">
        <v>301</v>
      </c>
      <c r="K148" s="8">
        <v>0</v>
      </c>
      <c r="L148" s="9">
        <v>3</v>
      </c>
    </row>
    <row r="149" spans="1:12" x14ac:dyDescent="0.15">
      <c r="A149" s="13" t="s">
        <v>527</v>
      </c>
      <c r="B149" s="14">
        <f>ABILITY_HEADER!A64</f>
        <v>62</v>
      </c>
      <c r="C149" s="14" t="s">
        <v>338</v>
      </c>
      <c r="D149" s="14">
        <v>0</v>
      </c>
      <c r="E149" s="14">
        <v>0</v>
      </c>
      <c r="F149" s="14">
        <v>15</v>
      </c>
      <c r="G149" s="14">
        <v>0</v>
      </c>
      <c r="H149" s="14">
        <v>75</v>
      </c>
      <c r="I149" s="14" t="s">
        <v>301</v>
      </c>
      <c r="J149" s="14" t="str">
        <f>A150</f>
        <v>A202</v>
      </c>
      <c r="K149" s="14">
        <v>55</v>
      </c>
      <c r="L149" s="15">
        <v>0</v>
      </c>
    </row>
    <row r="150" spans="1:12" x14ac:dyDescent="0.15">
      <c r="A150" s="3" t="s">
        <v>528</v>
      </c>
      <c r="B150" s="4">
        <f>ABILITY_HEADER!A64</f>
        <v>62</v>
      </c>
      <c r="C150" s="4" t="s">
        <v>339</v>
      </c>
      <c r="D150" s="4">
        <v>0</v>
      </c>
      <c r="E150" s="4">
        <v>0</v>
      </c>
      <c r="F150" s="4">
        <v>20</v>
      </c>
      <c r="G150" s="4">
        <v>0</v>
      </c>
      <c r="H150" s="4">
        <v>100</v>
      </c>
      <c r="I150" s="4" t="str">
        <f>A149</f>
        <v>A201</v>
      </c>
      <c r="J150" s="4" t="str">
        <f>A193</f>
        <v>S201</v>
      </c>
      <c r="K150" s="4">
        <v>7</v>
      </c>
      <c r="L150" s="5">
        <v>0</v>
      </c>
    </row>
    <row r="151" spans="1:12" x14ac:dyDescent="0.15">
      <c r="A151" s="3" t="s">
        <v>529</v>
      </c>
      <c r="B151" s="4">
        <f>ABILITY_HEADER!A65</f>
        <v>63</v>
      </c>
      <c r="C151" s="4" t="s">
        <v>340</v>
      </c>
      <c r="D151" s="4">
        <v>0</v>
      </c>
      <c r="E151" s="4">
        <v>0</v>
      </c>
      <c r="F151" s="4">
        <v>45</v>
      </c>
      <c r="G151" s="4">
        <v>0</v>
      </c>
      <c r="H151" s="4">
        <v>105</v>
      </c>
      <c r="I151" s="4" t="s">
        <v>301</v>
      </c>
      <c r="J151" s="4" t="str">
        <f>A152</f>
        <v>A204</v>
      </c>
      <c r="K151" s="4">
        <v>55</v>
      </c>
      <c r="L151" s="5">
        <v>0</v>
      </c>
    </row>
    <row r="152" spans="1:12" x14ac:dyDescent="0.15">
      <c r="A152" s="3" t="s">
        <v>530</v>
      </c>
      <c r="B152" s="4">
        <f>ABILITY_HEADER!A65</f>
        <v>63</v>
      </c>
      <c r="C152" s="4" t="s">
        <v>341</v>
      </c>
      <c r="D152" s="4">
        <v>0</v>
      </c>
      <c r="E152" s="4">
        <v>0</v>
      </c>
      <c r="F152" s="4">
        <v>60</v>
      </c>
      <c r="G152" s="4">
        <v>0</v>
      </c>
      <c r="H152" s="4">
        <v>140</v>
      </c>
      <c r="I152" s="4" t="str">
        <f>A151</f>
        <v>A203</v>
      </c>
      <c r="J152" s="4" t="str">
        <f>A194</f>
        <v>S202</v>
      </c>
      <c r="K152" s="4">
        <v>7</v>
      </c>
      <c r="L152" s="5">
        <v>0</v>
      </c>
    </row>
    <row r="153" spans="1:12" x14ac:dyDescent="0.15">
      <c r="A153" s="3" t="s">
        <v>531</v>
      </c>
      <c r="B153" s="4">
        <f>ABILITY_HEADER!A66</f>
        <v>64</v>
      </c>
      <c r="C153" s="4" t="s">
        <v>342</v>
      </c>
      <c r="D153" s="4">
        <v>36</v>
      </c>
      <c r="E153" s="4">
        <v>0</v>
      </c>
      <c r="F153" s="4">
        <v>78</v>
      </c>
      <c r="G153" s="4">
        <v>0</v>
      </c>
      <c r="H153" s="4">
        <v>36</v>
      </c>
      <c r="I153" s="4" t="s">
        <v>301</v>
      </c>
      <c r="J153" s="4" t="str">
        <f>A154</f>
        <v>A206</v>
      </c>
      <c r="K153" s="4">
        <v>62</v>
      </c>
      <c r="L153" s="5">
        <v>0</v>
      </c>
    </row>
    <row r="154" spans="1:12" x14ac:dyDescent="0.15">
      <c r="A154" s="3" t="s">
        <v>532</v>
      </c>
      <c r="B154" s="4">
        <f>ABILITY_HEADER!A66</f>
        <v>64</v>
      </c>
      <c r="C154" s="4" t="s">
        <v>343</v>
      </c>
      <c r="D154" s="4">
        <v>48</v>
      </c>
      <c r="E154" s="4">
        <v>0</v>
      </c>
      <c r="F154" s="4">
        <v>104</v>
      </c>
      <c r="G154" s="4">
        <v>0</v>
      </c>
      <c r="H154" s="4">
        <v>48</v>
      </c>
      <c r="I154" s="4" t="str">
        <f>A153</f>
        <v>A205</v>
      </c>
      <c r="J154" s="4" t="str">
        <f>A195</f>
        <v>S203</v>
      </c>
      <c r="K154" s="4">
        <v>9</v>
      </c>
      <c r="L154" s="5">
        <v>0</v>
      </c>
    </row>
    <row r="155" spans="1:12" x14ac:dyDescent="0.15">
      <c r="A155" s="3" t="s">
        <v>533</v>
      </c>
      <c r="B155" s="4">
        <f>ABILITY_HEADER!A67</f>
        <v>65</v>
      </c>
      <c r="C155" s="4" t="s">
        <v>344</v>
      </c>
      <c r="D155" s="4">
        <v>123</v>
      </c>
      <c r="E155" s="4">
        <v>0</v>
      </c>
      <c r="F155" s="4">
        <v>93</v>
      </c>
      <c r="G155" s="4">
        <v>0</v>
      </c>
      <c r="H155" s="4">
        <v>33</v>
      </c>
      <c r="I155" s="4" t="s">
        <v>301</v>
      </c>
      <c r="J155" s="4" t="str">
        <f>A156</f>
        <v>A208</v>
      </c>
      <c r="K155" s="4">
        <v>69</v>
      </c>
      <c r="L155" s="5">
        <v>0</v>
      </c>
    </row>
    <row r="156" spans="1:12" x14ac:dyDescent="0.15">
      <c r="A156" s="3" t="s">
        <v>534</v>
      </c>
      <c r="B156" s="4">
        <f>ABILITY_HEADER!A67</f>
        <v>65</v>
      </c>
      <c r="C156" s="4" t="s">
        <v>391</v>
      </c>
      <c r="D156" s="4">
        <v>164</v>
      </c>
      <c r="E156" s="4">
        <v>0</v>
      </c>
      <c r="F156" s="4">
        <v>124</v>
      </c>
      <c r="G156" s="4">
        <v>0</v>
      </c>
      <c r="H156" s="4">
        <v>44</v>
      </c>
      <c r="I156" s="4" t="str">
        <f>A155</f>
        <v>A207</v>
      </c>
      <c r="J156" s="4" t="str">
        <f>A196</f>
        <v>S204</v>
      </c>
      <c r="K156" s="4">
        <v>83</v>
      </c>
      <c r="L156" s="5">
        <v>0</v>
      </c>
    </row>
    <row r="157" spans="1:12" x14ac:dyDescent="0.15">
      <c r="A157" s="3" t="s">
        <v>535</v>
      </c>
      <c r="B157" s="4">
        <f>ABILITY_HEADER!A68</f>
        <v>66</v>
      </c>
      <c r="C157" s="4" t="s">
        <v>394</v>
      </c>
      <c r="D157" s="4">
        <v>0</v>
      </c>
      <c r="E157" s="4">
        <v>45</v>
      </c>
      <c r="F157" s="4">
        <v>30</v>
      </c>
      <c r="G157" s="4">
        <v>0</v>
      </c>
      <c r="H157" s="4">
        <v>0</v>
      </c>
      <c r="I157" s="4" t="s">
        <v>301</v>
      </c>
      <c r="J157" s="4" t="str">
        <f>A158</f>
        <v>A210</v>
      </c>
      <c r="K157" s="4">
        <v>16</v>
      </c>
      <c r="L157" s="5">
        <v>0</v>
      </c>
    </row>
    <row r="158" spans="1:12" x14ac:dyDescent="0.15">
      <c r="A158" s="3" t="s">
        <v>536</v>
      </c>
      <c r="B158" s="4">
        <f>ABILITY_HEADER!A68</f>
        <v>66</v>
      </c>
      <c r="C158" s="4" t="s">
        <v>345</v>
      </c>
      <c r="D158" s="4">
        <v>0</v>
      </c>
      <c r="E158" s="4">
        <v>60</v>
      </c>
      <c r="F158" s="4">
        <v>40</v>
      </c>
      <c r="G158" s="4">
        <v>0</v>
      </c>
      <c r="H158" s="4">
        <v>0</v>
      </c>
      <c r="I158" s="4" t="str">
        <f>A157</f>
        <v>A209</v>
      </c>
      <c r="J158" s="4" t="str">
        <f>A197</f>
        <v>S205</v>
      </c>
      <c r="K158" s="4">
        <v>7</v>
      </c>
      <c r="L158" s="5">
        <v>0</v>
      </c>
    </row>
    <row r="159" spans="1:12" x14ac:dyDescent="0.15">
      <c r="A159" s="3" t="s">
        <v>537</v>
      </c>
      <c r="B159" s="4">
        <f>ABILITY_HEADER!A69</f>
        <v>67</v>
      </c>
      <c r="C159" s="4" t="s">
        <v>395</v>
      </c>
      <c r="D159" s="4">
        <v>0</v>
      </c>
      <c r="E159" s="4">
        <v>13</v>
      </c>
      <c r="F159" s="4">
        <v>43</v>
      </c>
      <c r="G159" s="4">
        <v>95</v>
      </c>
      <c r="H159" s="4">
        <v>38</v>
      </c>
      <c r="I159" s="4" t="s">
        <v>301</v>
      </c>
      <c r="J159" s="4" t="str">
        <f>A198</f>
        <v>S206</v>
      </c>
      <c r="K159" s="4">
        <v>62</v>
      </c>
      <c r="L159" s="5">
        <v>0</v>
      </c>
    </row>
    <row r="160" spans="1:12" x14ac:dyDescent="0.15">
      <c r="A160" s="3" t="s">
        <v>538</v>
      </c>
      <c r="B160" s="4">
        <f>ABILITY_HEADER!A70</f>
        <v>68</v>
      </c>
      <c r="C160" s="4" t="s">
        <v>308</v>
      </c>
      <c r="D160" s="4">
        <v>0</v>
      </c>
      <c r="E160" s="4">
        <v>38</v>
      </c>
      <c r="F160" s="4">
        <v>25</v>
      </c>
      <c r="G160" s="4">
        <v>0</v>
      </c>
      <c r="H160" s="4">
        <v>0</v>
      </c>
      <c r="I160" s="4" t="s">
        <v>301</v>
      </c>
      <c r="J160" s="4" t="s">
        <v>301</v>
      </c>
      <c r="K160" s="4">
        <v>9</v>
      </c>
      <c r="L160" s="5">
        <v>0</v>
      </c>
    </row>
    <row r="161" spans="1:12" x14ac:dyDescent="0.15">
      <c r="A161" s="3" t="s">
        <v>539</v>
      </c>
      <c r="B161" s="4">
        <f>ABILITY_HEADER!A71</f>
        <v>69</v>
      </c>
      <c r="C161" s="4" t="s">
        <v>309</v>
      </c>
      <c r="D161" s="4">
        <v>0</v>
      </c>
      <c r="E161" s="4">
        <v>25</v>
      </c>
      <c r="F161" s="4">
        <v>38</v>
      </c>
      <c r="G161" s="4">
        <v>0</v>
      </c>
      <c r="H161" s="4">
        <v>0</v>
      </c>
      <c r="I161" s="4" t="s">
        <v>301</v>
      </c>
      <c r="J161" s="4" t="s">
        <v>301</v>
      </c>
      <c r="K161" s="4">
        <v>9</v>
      </c>
      <c r="L161" s="5">
        <v>0</v>
      </c>
    </row>
    <row r="162" spans="1:12" x14ac:dyDescent="0.15">
      <c r="A162" s="3" t="s">
        <v>540</v>
      </c>
      <c r="B162" s="4">
        <f>ABILITY_HEADER!A72</f>
        <v>70</v>
      </c>
      <c r="C162" s="4" t="s">
        <v>310</v>
      </c>
      <c r="D162" s="4">
        <v>38</v>
      </c>
      <c r="E162" s="4">
        <v>0</v>
      </c>
      <c r="F162" s="4">
        <v>56</v>
      </c>
      <c r="G162" s="4">
        <v>81</v>
      </c>
      <c r="H162" s="4">
        <v>13</v>
      </c>
      <c r="I162" s="4" t="s">
        <v>301</v>
      </c>
      <c r="J162" s="4" t="str">
        <f>A199</f>
        <v>S207</v>
      </c>
      <c r="K162" s="4">
        <v>41</v>
      </c>
      <c r="L162" s="5">
        <v>0</v>
      </c>
    </row>
    <row r="163" spans="1:12" x14ac:dyDescent="0.15">
      <c r="A163" s="3" t="s">
        <v>541</v>
      </c>
      <c r="B163" s="4">
        <f>ABILITY_HEADER!A73</f>
        <v>71</v>
      </c>
      <c r="C163" s="4" t="s">
        <v>396</v>
      </c>
      <c r="D163" s="4">
        <v>0</v>
      </c>
      <c r="E163" s="4">
        <v>6</v>
      </c>
      <c r="F163" s="4">
        <v>25</v>
      </c>
      <c r="G163" s="4">
        <v>0</v>
      </c>
      <c r="H163" s="4">
        <v>31</v>
      </c>
      <c r="I163" s="4" t="s">
        <v>301</v>
      </c>
      <c r="J163" s="4" t="s">
        <v>301</v>
      </c>
      <c r="K163" s="4">
        <v>0</v>
      </c>
      <c r="L163" s="5">
        <v>4</v>
      </c>
    </row>
    <row r="164" spans="1:12" x14ac:dyDescent="0.15">
      <c r="A164" s="3" t="s">
        <v>542</v>
      </c>
      <c r="B164" s="4">
        <f>ABILITY_HEADER!A133</f>
        <v>131</v>
      </c>
      <c r="C164" s="4" t="s">
        <v>346</v>
      </c>
      <c r="D164" s="4">
        <v>0</v>
      </c>
      <c r="E164" s="4">
        <v>0</v>
      </c>
      <c r="F164" s="4">
        <v>0</v>
      </c>
      <c r="G164" s="4">
        <v>0</v>
      </c>
      <c r="H164" s="4">
        <v>188</v>
      </c>
      <c r="I164" s="4" t="s">
        <v>301</v>
      </c>
      <c r="J164" s="4" t="s">
        <v>301</v>
      </c>
      <c r="K164" s="4">
        <v>48</v>
      </c>
      <c r="L164" s="5">
        <v>0</v>
      </c>
    </row>
    <row r="165" spans="1:12" x14ac:dyDescent="0.15">
      <c r="A165" s="3" t="s">
        <v>543</v>
      </c>
      <c r="B165" s="4">
        <f>ABILITY_HEADER!A74</f>
        <v>72</v>
      </c>
      <c r="C165" s="4" t="s">
        <v>312</v>
      </c>
      <c r="D165" s="4">
        <v>0</v>
      </c>
      <c r="E165" s="4">
        <v>0</v>
      </c>
      <c r="F165" s="4">
        <v>88</v>
      </c>
      <c r="G165" s="4">
        <v>13</v>
      </c>
      <c r="H165" s="4">
        <v>25</v>
      </c>
      <c r="I165" s="4" t="s">
        <v>301</v>
      </c>
      <c r="J165" s="4" t="str">
        <f>A200</f>
        <v>S208</v>
      </c>
      <c r="K165" s="4">
        <v>39</v>
      </c>
      <c r="L165" s="5">
        <v>0</v>
      </c>
    </row>
    <row r="166" spans="1:12" x14ac:dyDescent="0.15">
      <c r="A166" s="3" t="s">
        <v>544</v>
      </c>
      <c r="B166" s="4">
        <f>ABILITY_HEADER!A75</f>
        <v>73</v>
      </c>
      <c r="C166" s="4" t="s">
        <v>313</v>
      </c>
      <c r="D166" s="4">
        <v>81</v>
      </c>
      <c r="E166" s="4">
        <v>0</v>
      </c>
      <c r="F166" s="4">
        <v>44</v>
      </c>
      <c r="G166" s="4">
        <v>0</v>
      </c>
      <c r="H166" s="4">
        <v>0</v>
      </c>
      <c r="I166" s="4" t="s">
        <v>301</v>
      </c>
      <c r="J166" s="4" t="str">
        <f>A201</f>
        <v>S209</v>
      </c>
      <c r="K166" s="4">
        <v>48</v>
      </c>
      <c r="L166" s="5">
        <v>0</v>
      </c>
    </row>
    <row r="167" spans="1:12" x14ac:dyDescent="0.15">
      <c r="A167" s="3" t="s">
        <v>545</v>
      </c>
      <c r="B167" s="4">
        <f>ABILITY_HEADER!A76</f>
        <v>74</v>
      </c>
      <c r="C167" s="4" t="s">
        <v>314</v>
      </c>
      <c r="D167" s="4">
        <v>56</v>
      </c>
      <c r="E167" s="4">
        <v>0</v>
      </c>
      <c r="F167" s="4">
        <v>38</v>
      </c>
      <c r="G167" s="4">
        <v>0</v>
      </c>
      <c r="H167" s="4">
        <v>94</v>
      </c>
      <c r="I167" s="4" t="s">
        <v>301</v>
      </c>
      <c r="J167" s="4" t="str">
        <f>A209</f>
        <v>S217</v>
      </c>
      <c r="K167" s="4">
        <v>55</v>
      </c>
      <c r="L167" s="5">
        <v>0</v>
      </c>
    </row>
    <row r="168" spans="1:12" x14ac:dyDescent="0.15">
      <c r="A168" s="3" t="s">
        <v>546</v>
      </c>
      <c r="B168" s="4">
        <f>ABILITY_HEADER!A77</f>
        <v>75</v>
      </c>
      <c r="C168" s="4" t="s">
        <v>315</v>
      </c>
      <c r="D168" s="4">
        <v>25</v>
      </c>
      <c r="E168" s="4">
        <v>0</v>
      </c>
      <c r="F168" s="4">
        <v>0</v>
      </c>
      <c r="G168" s="4">
        <v>0</v>
      </c>
      <c r="H168" s="4">
        <v>163</v>
      </c>
      <c r="I168" s="4" t="s">
        <v>301</v>
      </c>
      <c r="J168" s="4" t="str">
        <f>A207</f>
        <v>S215</v>
      </c>
      <c r="K168" s="4">
        <v>23</v>
      </c>
      <c r="L168" s="5">
        <v>0</v>
      </c>
    </row>
    <row r="169" spans="1:12" x14ac:dyDescent="0.15">
      <c r="A169" s="3" t="s">
        <v>547</v>
      </c>
      <c r="B169" s="4">
        <f>ABILITY_HEADER!A78</f>
        <v>76</v>
      </c>
      <c r="C169" s="4" t="s">
        <v>397</v>
      </c>
      <c r="D169" s="4">
        <v>0</v>
      </c>
      <c r="E169" s="4">
        <v>0</v>
      </c>
      <c r="F169" s="4">
        <v>31</v>
      </c>
      <c r="G169" s="4">
        <v>31</v>
      </c>
      <c r="H169" s="4">
        <v>0</v>
      </c>
      <c r="I169" s="4" t="s">
        <v>301</v>
      </c>
      <c r="J169" s="4" t="s">
        <v>301</v>
      </c>
      <c r="K169" s="4">
        <v>30</v>
      </c>
      <c r="L169" s="5">
        <v>0</v>
      </c>
    </row>
    <row r="170" spans="1:12" x14ac:dyDescent="0.15">
      <c r="A170" s="3" t="s">
        <v>548</v>
      </c>
      <c r="B170" s="4">
        <f>ABILITY_HEADER!A79</f>
        <v>77</v>
      </c>
      <c r="C170" s="4" t="s">
        <v>317</v>
      </c>
      <c r="D170" s="4">
        <v>69</v>
      </c>
      <c r="E170" s="4">
        <v>0</v>
      </c>
      <c r="F170" s="4">
        <v>69</v>
      </c>
      <c r="G170" s="4">
        <v>69</v>
      </c>
      <c r="H170" s="4">
        <v>44</v>
      </c>
      <c r="I170" s="4" t="s">
        <v>301</v>
      </c>
      <c r="J170" s="4" t="str">
        <f>A213</f>
        <v>S221</v>
      </c>
      <c r="K170" s="4">
        <v>76</v>
      </c>
      <c r="L170" s="5">
        <v>0</v>
      </c>
    </row>
    <row r="171" spans="1:12" x14ac:dyDescent="0.15">
      <c r="A171" s="3" t="s">
        <v>549</v>
      </c>
      <c r="B171" s="4">
        <f>ABILITY_HEADER!A80</f>
        <v>78</v>
      </c>
      <c r="C171" s="4" t="s">
        <v>318</v>
      </c>
      <c r="D171" s="4">
        <v>44</v>
      </c>
      <c r="E171" s="4">
        <v>0</v>
      </c>
      <c r="F171" s="4">
        <v>100</v>
      </c>
      <c r="G171" s="4">
        <v>63</v>
      </c>
      <c r="H171" s="4">
        <v>44</v>
      </c>
      <c r="I171" s="4" t="s">
        <v>301</v>
      </c>
      <c r="J171" s="4" t="str">
        <f>A202</f>
        <v>S210</v>
      </c>
      <c r="K171" s="4">
        <v>90</v>
      </c>
      <c r="L171" s="5">
        <v>0</v>
      </c>
    </row>
    <row r="172" spans="1:12" x14ac:dyDescent="0.15">
      <c r="A172" s="3" t="s">
        <v>550</v>
      </c>
      <c r="B172" s="4">
        <f>ABILITY_HEADER!A81</f>
        <v>79</v>
      </c>
      <c r="C172" s="4" t="s">
        <v>398</v>
      </c>
      <c r="D172" s="4">
        <v>88</v>
      </c>
      <c r="E172" s="4">
        <v>0</v>
      </c>
      <c r="F172" s="4">
        <v>50</v>
      </c>
      <c r="G172" s="4">
        <v>50</v>
      </c>
      <c r="H172" s="4">
        <v>0</v>
      </c>
      <c r="I172" s="4" t="s">
        <v>301</v>
      </c>
      <c r="J172" s="4" t="str">
        <f>A203</f>
        <v>S211</v>
      </c>
      <c r="K172" s="4">
        <v>55</v>
      </c>
      <c r="L172" s="5">
        <v>0</v>
      </c>
    </row>
    <row r="173" spans="1:12" x14ac:dyDescent="0.15">
      <c r="A173" s="3" t="s">
        <v>551</v>
      </c>
      <c r="B173" s="4">
        <f>ABILITY_HEADER!A82</f>
        <v>80</v>
      </c>
      <c r="C173" s="4" t="s">
        <v>320</v>
      </c>
      <c r="D173" s="4">
        <v>38</v>
      </c>
      <c r="E173" s="4">
        <v>0</v>
      </c>
      <c r="F173" s="4">
        <v>94</v>
      </c>
      <c r="G173" s="4">
        <v>50</v>
      </c>
      <c r="H173" s="4">
        <v>6</v>
      </c>
      <c r="I173" s="4" t="s">
        <v>301</v>
      </c>
      <c r="J173" s="4" t="str">
        <f>A204</f>
        <v>S212</v>
      </c>
      <c r="K173" s="4">
        <v>48</v>
      </c>
      <c r="L173" s="5">
        <v>0</v>
      </c>
    </row>
    <row r="174" spans="1:12" x14ac:dyDescent="0.15">
      <c r="A174" s="3" t="s">
        <v>552</v>
      </c>
      <c r="B174" s="4">
        <f>ABILITY_HEADER!A83</f>
        <v>81</v>
      </c>
      <c r="C174" s="4" t="s">
        <v>321</v>
      </c>
      <c r="D174" s="4">
        <v>16</v>
      </c>
      <c r="E174" s="4">
        <v>0</v>
      </c>
      <c r="F174" s="4">
        <v>16</v>
      </c>
      <c r="G174" s="4">
        <v>16</v>
      </c>
      <c r="H174" s="4">
        <v>16</v>
      </c>
      <c r="I174" s="4" t="s">
        <v>301</v>
      </c>
      <c r="J174" s="4" t="str">
        <f>A205</f>
        <v>S213</v>
      </c>
      <c r="K174" s="4">
        <v>16</v>
      </c>
      <c r="L174" s="5">
        <v>0</v>
      </c>
    </row>
    <row r="175" spans="1:12" x14ac:dyDescent="0.15">
      <c r="A175" s="3" t="s">
        <v>553</v>
      </c>
      <c r="B175" s="4">
        <f>ABILITY_HEADER!A84</f>
        <v>82</v>
      </c>
      <c r="C175" s="4" t="s">
        <v>322</v>
      </c>
      <c r="D175" s="4">
        <v>50</v>
      </c>
      <c r="E175" s="4">
        <v>0</v>
      </c>
      <c r="F175" s="4">
        <v>50</v>
      </c>
      <c r="G175" s="4">
        <v>38</v>
      </c>
      <c r="H175" s="4">
        <v>50</v>
      </c>
      <c r="I175" s="4" t="s">
        <v>301</v>
      </c>
      <c r="J175" s="4" t="str">
        <f>A225</f>
        <v>S233</v>
      </c>
      <c r="K175" s="4">
        <v>41</v>
      </c>
      <c r="L175" s="5">
        <v>0</v>
      </c>
    </row>
    <row r="176" spans="1:12" x14ac:dyDescent="0.15">
      <c r="A176" s="3" t="s">
        <v>554</v>
      </c>
      <c r="B176" s="4">
        <f>ABILITY_HEADER!A85</f>
        <v>83</v>
      </c>
      <c r="C176" s="4" t="s">
        <v>392</v>
      </c>
      <c r="D176" s="4">
        <v>50</v>
      </c>
      <c r="E176" s="4">
        <v>0</v>
      </c>
      <c r="F176" s="4">
        <v>88</v>
      </c>
      <c r="G176" s="4">
        <v>50</v>
      </c>
      <c r="H176" s="4">
        <v>0</v>
      </c>
      <c r="I176" s="4" t="s">
        <v>301</v>
      </c>
      <c r="J176" s="4" t="str">
        <f>A211</f>
        <v>S219</v>
      </c>
      <c r="K176" s="4">
        <v>48</v>
      </c>
      <c r="L176" s="5">
        <v>0</v>
      </c>
    </row>
    <row r="177" spans="1:12" x14ac:dyDescent="0.15">
      <c r="A177" s="3" t="s">
        <v>555</v>
      </c>
      <c r="B177" s="4">
        <f>ABILITY_HEADER!A86</f>
        <v>84</v>
      </c>
      <c r="C177" s="4" t="s">
        <v>324</v>
      </c>
      <c r="D177" s="4">
        <v>24</v>
      </c>
      <c r="E177" s="4">
        <v>0</v>
      </c>
      <c r="F177" s="4">
        <v>42</v>
      </c>
      <c r="G177" s="4">
        <v>24</v>
      </c>
      <c r="H177" s="4">
        <v>99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556</v>
      </c>
      <c r="B178" s="4">
        <f>ABILITY_HEADER!A88</f>
        <v>86</v>
      </c>
      <c r="C178" s="4" t="s">
        <v>326</v>
      </c>
      <c r="D178" s="4">
        <v>0</v>
      </c>
      <c r="E178" s="4">
        <v>5</v>
      </c>
      <c r="F178" s="4">
        <v>31</v>
      </c>
      <c r="G178" s="4">
        <v>0</v>
      </c>
      <c r="H178" s="4">
        <v>26</v>
      </c>
      <c r="I178" s="4" t="s">
        <v>301</v>
      </c>
      <c r="J178" s="4" t="s">
        <v>301</v>
      </c>
      <c r="K178" s="4">
        <v>58</v>
      </c>
      <c r="L178" s="5">
        <v>0</v>
      </c>
    </row>
    <row r="179" spans="1:12" x14ac:dyDescent="0.15">
      <c r="A179" s="3" t="s">
        <v>557</v>
      </c>
      <c r="B179" s="4">
        <f>ABILITY_HEADER!A87</f>
        <v>85</v>
      </c>
      <c r="C179" s="4" t="s">
        <v>325</v>
      </c>
      <c r="D179" s="4">
        <v>0</v>
      </c>
      <c r="E179" s="4">
        <v>0</v>
      </c>
      <c r="F179" s="4">
        <v>35</v>
      </c>
      <c r="G179" s="4">
        <v>0</v>
      </c>
      <c r="H179" s="4">
        <v>90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558</v>
      </c>
      <c r="B180" s="4">
        <f>ABILITY_HEADER!A89</f>
        <v>87</v>
      </c>
      <c r="C180" s="4" t="s">
        <v>327</v>
      </c>
      <c r="D180" s="4">
        <v>0</v>
      </c>
      <c r="E180" s="4">
        <v>0</v>
      </c>
      <c r="F180" s="4">
        <v>48</v>
      </c>
      <c r="G180" s="4">
        <v>13</v>
      </c>
      <c r="H180" s="4">
        <v>65</v>
      </c>
      <c r="I180" s="4" t="s">
        <v>301</v>
      </c>
      <c r="J180" s="4" t="str">
        <f>A212</f>
        <v>S220</v>
      </c>
      <c r="K180" s="4">
        <v>39</v>
      </c>
      <c r="L180" s="5">
        <v>0</v>
      </c>
    </row>
    <row r="181" spans="1:12" x14ac:dyDescent="0.15">
      <c r="A181" s="3" t="s">
        <v>582</v>
      </c>
      <c r="B181" s="4">
        <f>ABILITY_HEADER!A116</f>
        <v>114</v>
      </c>
      <c r="C181" s="4" t="s">
        <v>523</v>
      </c>
      <c r="D181" s="4">
        <v>37</v>
      </c>
      <c r="E181" s="4">
        <v>0</v>
      </c>
      <c r="F181" s="4">
        <v>37</v>
      </c>
      <c r="G181" s="4">
        <v>0</v>
      </c>
      <c r="H181" s="4">
        <v>50</v>
      </c>
      <c r="I181" s="4" t="s">
        <v>581</v>
      </c>
      <c r="J181" s="4" t="str">
        <f>A215</f>
        <v>S223</v>
      </c>
      <c r="K181" s="4">
        <v>39</v>
      </c>
      <c r="L181" s="5">
        <v>0</v>
      </c>
    </row>
    <row r="182" spans="1:12" x14ac:dyDescent="0.15">
      <c r="A182" s="3" t="s">
        <v>583</v>
      </c>
      <c r="B182" s="4">
        <f>ABILITY_HEADER!A117</f>
        <v>115</v>
      </c>
      <c r="C182" s="4" t="s">
        <v>584</v>
      </c>
      <c r="D182" s="4">
        <v>30</v>
      </c>
      <c r="E182" s="4">
        <v>0</v>
      </c>
      <c r="F182" s="4">
        <v>40</v>
      </c>
      <c r="G182" s="4">
        <v>0</v>
      </c>
      <c r="H182" s="4">
        <v>55</v>
      </c>
      <c r="I182" s="4" t="s">
        <v>581</v>
      </c>
      <c r="J182" s="4" t="s">
        <v>520</v>
      </c>
      <c r="K182" s="4">
        <v>48</v>
      </c>
      <c r="L182" s="5">
        <v>0</v>
      </c>
    </row>
    <row r="183" spans="1:12" x14ac:dyDescent="0.15">
      <c r="A183" s="3" t="s">
        <v>619</v>
      </c>
      <c r="B183" s="4">
        <f>ABILITY_HEADER!A119</f>
        <v>117</v>
      </c>
      <c r="C183" s="4" t="s">
        <v>620</v>
      </c>
      <c r="D183" s="4">
        <v>0</v>
      </c>
      <c r="E183" s="4">
        <v>8</v>
      </c>
      <c r="F183" s="4">
        <v>20</v>
      </c>
      <c r="G183" s="4">
        <v>110</v>
      </c>
      <c r="H183" s="4">
        <v>50</v>
      </c>
      <c r="I183" s="4" t="s">
        <v>618</v>
      </c>
      <c r="J183" s="4" t="str">
        <f>A216</f>
        <v>S224</v>
      </c>
      <c r="K183" s="4">
        <v>55</v>
      </c>
      <c r="L183" s="5">
        <v>0</v>
      </c>
    </row>
    <row r="184" spans="1:12" x14ac:dyDescent="0.15">
      <c r="A184" s="3" t="s">
        <v>1059</v>
      </c>
      <c r="B184" s="4">
        <f>ABILITY_HEADER!A121</f>
        <v>119</v>
      </c>
      <c r="C184" s="4" t="s">
        <v>1057</v>
      </c>
      <c r="D184" s="4">
        <v>50</v>
      </c>
      <c r="E184" s="4">
        <v>0</v>
      </c>
      <c r="F184" s="4">
        <v>35</v>
      </c>
      <c r="G184" s="4">
        <v>30</v>
      </c>
      <c r="H184" s="4">
        <v>10</v>
      </c>
      <c r="I184" s="4" t="s">
        <v>1060</v>
      </c>
      <c r="J184" s="4" t="str">
        <f>A217</f>
        <v>S225</v>
      </c>
      <c r="K184" s="4">
        <v>39</v>
      </c>
      <c r="L184" s="5">
        <v>0</v>
      </c>
    </row>
    <row r="185" spans="1:12" x14ac:dyDescent="0.15">
      <c r="A185" s="3" t="s">
        <v>1378</v>
      </c>
      <c r="B185" s="4">
        <f>ABILITY_HEADER!A123</f>
        <v>121</v>
      </c>
      <c r="C185" s="4" t="s">
        <v>1379</v>
      </c>
      <c r="D185" s="4">
        <v>40</v>
      </c>
      <c r="E185" s="4">
        <v>0</v>
      </c>
      <c r="F185" s="4">
        <v>80</v>
      </c>
      <c r="G185" s="4">
        <v>0</v>
      </c>
      <c r="H185" s="4">
        <v>68</v>
      </c>
      <c r="I185" s="4" t="s">
        <v>1380</v>
      </c>
      <c r="J185" s="4" t="str">
        <f>A219</f>
        <v>S227</v>
      </c>
      <c r="K185" s="4">
        <v>62</v>
      </c>
      <c r="L185" s="5">
        <v>0</v>
      </c>
    </row>
    <row r="186" spans="1:12" x14ac:dyDescent="0.15">
      <c r="A186" s="3" t="s">
        <v>1405</v>
      </c>
      <c r="B186" s="4">
        <f>ABILITY_HEADER!A125</f>
        <v>123</v>
      </c>
      <c r="C186" s="4" t="s">
        <v>1406</v>
      </c>
      <c r="D186" s="4">
        <v>40</v>
      </c>
      <c r="E186" s="4">
        <v>0</v>
      </c>
      <c r="F186" s="4">
        <v>80</v>
      </c>
      <c r="G186" s="4">
        <v>0</v>
      </c>
      <c r="H186" s="4">
        <v>68</v>
      </c>
      <c r="I186" s="4" t="s">
        <v>1407</v>
      </c>
      <c r="J186" s="4" t="str">
        <f>A220</f>
        <v>S228</v>
      </c>
      <c r="K186" s="4">
        <v>15</v>
      </c>
      <c r="L186" s="5">
        <v>4</v>
      </c>
    </row>
    <row r="187" spans="1:12" x14ac:dyDescent="0.15">
      <c r="A187" s="3" t="s">
        <v>1450</v>
      </c>
      <c r="B187" s="4">
        <f>ABILITY_HEADER!A127</f>
        <v>125</v>
      </c>
      <c r="C187" s="4" t="s">
        <v>1446</v>
      </c>
      <c r="D187" s="4">
        <v>60</v>
      </c>
      <c r="E187" s="4">
        <v>5</v>
      </c>
      <c r="F187" s="4">
        <v>30</v>
      </c>
      <c r="G187" s="4">
        <v>30</v>
      </c>
      <c r="H187" s="4">
        <v>0</v>
      </c>
      <c r="I187" s="4" t="s">
        <v>1451</v>
      </c>
      <c r="J187" s="4" t="s">
        <v>1449</v>
      </c>
      <c r="K187" s="4">
        <v>48</v>
      </c>
      <c r="L187" s="5">
        <v>0</v>
      </c>
    </row>
    <row r="188" spans="1:12" x14ac:dyDescent="0.15">
      <c r="A188" s="3" t="s">
        <v>1470</v>
      </c>
      <c r="B188" s="4">
        <f>ABILITY_HEADER!A131</f>
        <v>129</v>
      </c>
      <c r="C188" s="4" t="s">
        <v>1472</v>
      </c>
      <c r="D188" s="4">
        <v>0</v>
      </c>
      <c r="E188" s="4">
        <v>25</v>
      </c>
      <c r="F188" s="4">
        <v>110</v>
      </c>
      <c r="G188" s="4">
        <v>0</v>
      </c>
      <c r="H188" s="4">
        <v>115</v>
      </c>
      <c r="I188" s="4" t="s">
        <v>1473</v>
      </c>
      <c r="J188" s="4" t="str">
        <f>A222</f>
        <v>S230</v>
      </c>
      <c r="K188" s="4">
        <v>48</v>
      </c>
      <c r="L188" s="5">
        <v>0</v>
      </c>
    </row>
    <row r="189" spans="1:12" x14ac:dyDescent="0.15">
      <c r="A189" s="3" t="s">
        <v>1471</v>
      </c>
      <c r="B189" s="4">
        <f>ABILITY_HEADER!A132</f>
        <v>130</v>
      </c>
      <c r="C189" s="4" t="s">
        <v>1474</v>
      </c>
      <c r="D189" s="4">
        <v>110</v>
      </c>
      <c r="E189" s="4">
        <v>0</v>
      </c>
      <c r="F189" s="4">
        <v>18</v>
      </c>
      <c r="G189" s="4">
        <v>0</v>
      </c>
      <c r="H189" s="4">
        <v>60</v>
      </c>
      <c r="I189" s="4" t="s">
        <v>1476</v>
      </c>
      <c r="J189" s="4" t="str">
        <f>A223</f>
        <v>S231</v>
      </c>
      <c r="K189" s="4">
        <v>41</v>
      </c>
      <c r="L189" s="5">
        <v>0</v>
      </c>
    </row>
    <row r="190" spans="1:12" s="4" customFormat="1" x14ac:dyDescent="0.15">
      <c r="A190" s="3" t="s">
        <v>1487</v>
      </c>
      <c r="B190" s="4">
        <f>ABILITY_HEADER!A135</f>
        <v>133</v>
      </c>
      <c r="C190" s="4" t="s">
        <v>1485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 t="s">
        <v>1488</v>
      </c>
      <c r="J190" s="4" t="s">
        <v>1489</v>
      </c>
      <c r="K190" s="4">
        <v>0</v>
      </c>
      <c r="L190" s="5">
        <v>0</v>
      </c>
    </row>
    <row r="191" spans="1:12" s="4" customFormat="1" x14ac:dyDescent="0.15">
      <c r="A191" s="3" t="s">
        <v>1502</v>
      </c>
      <c r="B191" s="4">
        <f>ABILITY_HEADER!A138</f>
        <v>136</v>
      </c>
      <c r="C191" s="4" t="s">
        <v>1495</v>
      </c>
      <c r="D191" s="4">
        <v>0</v>
      </c>
      <c r="E191" s="4">
        <v>18</v>
      </c>
      <c r="F191" s="4">
        <v>0</v>
      </c>
      <c r="G191" s="4">
        <v>60</v>
      </c>
      <c r="H191" s="4">
        <v>110</v>
      </c>
      <c r="I191" s="4" t="s">
        <v>512</v>
      </c>
      <c r="J191" s="4" t="str">
        <f>A224</f>
        <v>S232</v>
      </c>
      <c r="K191" s="4">
        <v>41</v>
      </c>
      <c r="L191" s="5">
        <v>0</v>
      </c>
    </row>
    <row r="192" spans="1:12" s="4" customFormat="1" x14ac:dyDescent="0.15">
      <c r="A192" s="7" t="s">
        <v>1921</v>
      </c>
      <c r="B192" s="8">
        <f>ABILITY_HEADER!A142</f>
        <v>140</v>
      </c>
      <c r="C192" s="8" t="s">
        <v>1919</v>
      </c>
      <c r="D192" s="8">
        <v>113</v>
      </c>
      <c r="E192" s="8">
        <v>0</v>
      </c>
      <c r="F192" s="8">
        <v>0</v>
      </c>
      <c r="G192" s="8">
        <v>0</v>
      </c>
      <c r="H192" s="8">
        <v>75</v>
      </c>
      <c r="I192" s="8" t="s">
        <v>1922</v>
      </c>
      <c r="J192" s="8" t="str">
        <f>A226</f>
        <v>S234</v>
      </c>
      <c r="K192" s="8">
        <v>16</v>
      </c>
      <c r="L192" s="9">
        <v>4</v>
      </c>
    </row>
    <row r="193" spans="1:12" x14ac:dyDescent="0.15">
      <c r="A193" s="13" t="s">
        <v>559</v>
      </c>
      <c r="B193" s="14">
        <f>ABILITY_HEADER!A64</f>
        <v>62</v>
      </c>
      <c r="C193" s="14" t="s">
        <v>347</v>
      </c>
      <c r="D193" s="14">
        <v>0</v>
      </c>
      <c r="E193" s="14">
        <v>0</v>
      </c>
      <c r="F193" s="14">
        <v>35</v>
      </c>
      <c r="G193" s="14">
        <v>0</v>
      </c>
      <c r="H193" s="14">
        <v>175</v>
      </c>
      <c r="I193" s="14" t="str">
        <f>A150</f>
        <v>A202</v>
      </c>
      <c r="J193" s="14" t="s">
        <v>301</v>
      </c>
      <c r="K193" s="14">
        <v>203</v>
      </c>
      <c r="L193" s="15">
        <v>1</v>
      </c>
    </row>
    <row r="194" spans="1:12" x14ac:dyDescent="0.15">
      <c r="A194" s="3" t="s">
        <v>560</v>
      </c>
      <c r="B194" s="4">
        <f>ABILITY_HEADER!A65</f>
        <v>63</v>
      </c>
      <c r="C194" s="4" t="s">
        <v>348</v>
      </c>
      <c r="D194" s="4">
        <v>0</v>
      </c>
      <c r="E194" s="4">
        <v>0</v>
      </c>
      <c r="F194" s="4">
        <v>105</v>
      </c>
      <c r="G194" s="4">
        <v>0</v>
      </c>
      <c r="H194" s="4">
        <v>245</v>
      </c>
      <c r="I194" s="4" t="str">
        <f>A152</f>
        <v>A204</v>
      </c>
      <c r="J194" s="4" t="s">
        <v>301</v>
      </c>
      <c r="K194" s="4">
        <v>203</v>
      </c>
      <c r="L194" s="5">
        <v>1</v>
      </c>
    </row>
    <row r="195" spans="1:12" x14ac:dyDescent="0.15">
      <c r="A195" s="3" t="s">
        <v>561</v>
      </c>
      <c r="B195" s="4">
        <f>ABILITY_HEADER!A66</f>
        <v>64</v>
      </c>
      <c r="C195" s="4" t="s">
        <v>49</v>
      </c>
      <c r="D195" s="4">
        <v>84</v>
      </c>
      <c r="E195" s="4">
        <v>0</v>
      </c>
      <c r="F195" s="4">
        <v>182</v>
      </c>
      <c r="G195" s="4">
        <v>0</v>
      </c>
      <c r="H195" s="4">
        <v>84</v>
      </c>
      <c r="I195" s="4" t="str">
        <f>A154</f>
        <v>A206</v>
      </c>
      <c r="J195" s="4" t="s">
        <v>301</v>
      </c>
      <c r="K195" s="4">
        <v>194</v>
      </c>
      <c r="L195" s="5">
        <v>1</v>
      </c>
    </row>
    <row r="196" spans="1:12" x14ac:dyDescent="0.15">
      <c r="A196" s="3" t="s">
        <v>562</v>
      </c>
      <c r="B196" s="4">
        <f>ABILITY_HEADER!A67</f>
        <v>65</v>
      </c>
      <c r="C196" s="4" t="s">
        <v>349</v>
      </c>
      <c r="D196" s="4">
        <v>287</v>
      </c>
      <c r="E196" s="4">
        <v>0</v>
      </c>
      <c r="F196" s="4">
        <v>217</v>
      </c>
      <c r="G196" s="4"/>
      <c r="H196" s="4">
        <v>77</v>
      </c>
      <c r="I196" s="4" t="str">
        <f>A156</f>
        <v>A208</v>
      </c>
      <c r="J196" s="4" t="s">
        <v>301</v>
      </c>
      <c r="K196" s="4">
        <v>113</v>
      </c>
      <c r="L196" s="5">
        <v>1</v>
      </c>
    </row>
    <row r="197" spans="1:12" x14ac:dyDescent="0.15">
      <c r="A197" s="3" t="s">
        <v>563</v>
      </c>
      <c r="B197" s="4">
        <f>ABILITY_HEADER!A68</f>
        <v>66</v>
      </c>
      <c r="C197" s="4" t="s">
        <v>350</v>
      </c>
      <c r="D197" s="4">
        <v>0</v>
      </c>
      <c r="E197" s="4">
        <v>30</v>
      </c>
      <c r="F197" s="4">
        <v>110</v>
      </c>
      <c r="G197" s="4">
        <v>0</v>
      </c>
      <c r="H197" s="4">
        <v>35</v>
      </c>
      <c r="I197" s="4" t="str">
        <f>A158</f>
        <v>A210</v>
      </c>
      <c r="J197" s="4" t="s">
        <v>301</v>
      </c>
      <c r="K197" s="4">
        <v>166</v>
      </c>
      <c r="L197" s="5">
        <v>1</v>
      </c>
    </row>
    <row r="198" spans="1:12" x14ac:dyDescent="0.15">
      <c r="A198" s="3" t="s">
        <v>564</v>
      </c>
      <c r="B198" s="4">
        <f>ABILITY_HEADER!A69</f>
        <v>67</v>
      </c>
      <c r="C198" s="4" t="s">
        <v>351</v>
      </c>
      <c r="D198" s="4">
        <v>0</v>
      </c>
      <c r="E198" s="4">
        <v>13</v>
      </c>
      <c r="F198" s="4">
        <v>43</v>
      </c>
      <c r="G198" s="4">
        <v>95</v>
      </c>
      <c r="H198" s="4">
        <v>38</v>
      </c>
      <c r="I198" s="4" t="str">
        <f>A159</f>
        <v>A211</v>
      </c>
      <c r="J198" s="4" t="s">
        <v>301</v>
      </c>
      <c r="K198" s="4">
        <v>203</v>
      </c>
      <c r="L198" s="5">
        <v>1</v>
      </c>
    </row>
    <row r="199" spans="1:12" x14ac:dyDescent="0.15">
      <c r="A199" s="3" t="s">
        <v>565</v>
      </c>
      <c r="B199" s="4">
        <f>ABILITY_HEADER!A72</f>
        <v>70</v>
      </c>
      <c r="C199" s="4" t="s">
        <v>352</v>
      </c>
      <c r="D199" s="4">
        <v>38</v>
      </c>
      <c r="E199" s="4">
        <v>0</v>
      </c>
      <c r="F199" s="4">
        <v>56</v>
      </c>
      <c r="G199" s="4">
        <v>81</v>
      </c>
      <c r="H199" s="4">
        <v>13</v>
      </c>
      <c r="I199" s="4" t="str">
        <f>A162</f>
        <v>A214</v>
      </c>
      <c r="J199" s="4" t="s">
        <v>301</v>
      </c>
      <c r="K199" s="4">
        <v>148</v>
      </c>
      <c r="L199" s="5">
        <v>1</v>
      </c>
    </row>
    <row r="200" spans="1:12" x14ac:dyDescent="0.15">
      <c r="A200" s="3" t="s">
        <v>566</v>
      </c>
      <c r="B200" s="4">
        <f>ABILITY_HEADER!A74</f>
        <v>72</v>
      </c>
      <c r="C200" s="4" t="s">
        <v>353</v>
      </c>
      <c r="D200" s="4">
        <v>0</v>
      </c>
      <c r="E200" s="4">
        <v>0</v>
      </c>
      <c r="F200" s="4">
        <v>88</v>
      </c>
      <c r="G200" s="4">
        <v>13</v>
      </c>
      <c r="H200" s="4">
        <v>25</v>
      </c>
      <c r="I200" s="4" t="str">
        <f>A165</f>
        <v>A217</v>
      </c>
      <c r="J200" s="4" t="s">
        <v>301</v>
      </c>
      <c r="K200" s="4">
        <v>150</v>
      </c>
      <c r="L200" s="5">
        <v>1</v>
      </c>
    </row>
    <row r="201" spans="1:12" x14ac:dyDescent="0.15">
      <c r="A201" s="3" t="s">
        <v>567</v>
      </c>
      <c r="B201" s="4">
        <f>ABILITY_HEADER!A75</f>
        <v>73</v>
      </c>
      <c r="C201" s="4" t="s">
        <v>354</v>
      </c>
      <c r="D201" s="4">
        <v>81</v>
      </c>
      <c r="E201" s="4">
        <v>0</v>
      </c>
      <c r="F201" s="4">
        <v>44</v>
      </c>
      <c r="G201" s="4">
        <v>0</v>
      </c>
      <c r="H201" s="4">
        <v>0</v>
      </c>
      <c r="I201" s="4" t="str">
        <f>A166</f>
        <v>A218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568</v>
      </c>
      <c r="B202" s="4">
        <f>ABILITY_HEADER!A80</f>
        <v>78</v>
      </c>
      <c r="C202" s="4" t="s">
        <v>399</v>
      </c>
      <c r="D202" s="4">
        <v>44</v>
      </c>
      <c r="E202" s="4">
        <v>0</v>
      </c>
      <c r="F202" s="4">
        <v>100</v>
      </c>
      <c r="G202" s="4">
        <v>63</v>
      </c>
      <c r="H202" s="4">
        <v>44</v>
      </c>
      <c r="I202" s="4" t="str">
        <f>A171</f>
        <v>A223</v>
      </c>
      <c r="J202" s="4" t="s">
        <v>301</v>
      </c>
      <c r="K202" s="4">
        <v>175</v>
      </c>
      <c r="L202" s="5">
        <v>1</v>
      </c>
    </row>
    <row r="203" spans="1:12" x14ac:dyDescent="0.15">
      <c r="A203" s="3" t="s">
        <v>569</v>
      </c>
      <c r="B203" s="4">
        <f>ABILITY_HEADER!A81</f>
        <v>79</v>
      </c>
      <c r="C203" s="4" t="s">
        <v>400</v>
      </c>
      <c r="D203" s="4">
        <v>88</v>
      </c>
      <c r="E203" s="4">
        <v>0</v>
      </c>
      <c r="F203" s="4">
        <v>50</v>
      </c>
      <c r="G203" s="4">
        <v>50</v>
      </c>
      <c r="H203" s="4">
        <v>0</v>
      </c>
      <c r="I203" s="4" t="str">
        <f>A172</f>
        <v>A224</v>
      </c>
      <c r="J203" s="4" t="s">
        <v>301</v>
      </c>
      <c r="K203" s="4">
        <v>210</v>
      </c>
      <c r="L203" s="5">
        <v>1</v>
      </c>
    </row>
    <row r="204" spans="1:12" x14ac:dyDescent="0.15">
      <c r="A204" s="3" t="s">
        <v>570</v>
      </c>
      <c r="B204" s="4">
        <f>ABILITY_HEADER!A82</f>
        <v>80</v>
      </c>
      <c r="C204" s="4" t="s">
        <v>355</v>
      </c>
      <c r="D204" s="4">
        <v>38</v>
      </c>
      <c r="E204" s="4">
        <v>0</v>
      </c>
      <c r="F204" s="4">
        <v>94</v>
      </c>
      <c r="G204" s="4">
        <v>50</v>
      </c>
      <c r="H204" s="4">
        <v>6</v>
      </c>
      <c r="I204" s="4" t="str">
        <f>A173</f>
        <v>A225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571</v>
      </c>
      <c r="B205" s="4">
        <f>ABILITY_HEADER!A83</f>
        <v>81</v>
      </c>
      <c r="C205" s="4" t="s">
        <v>356</v>
      </c>
      <c r="D205" s="4">
        <v>48</v>
      </c>
      <c r="E205" s="4">
        <v>0</v>
      </c>
      <c r="F205" s="4">
        <v>48</v>
      </c>
      <c r="G205" s="4">
        <v>48</v>
      </c>
      <c r="H205" s="4">
        <v>48</v>
      </c>
      <c r="I205" s="4" t="str">
        <f>A174</f>
        <v>A226</v>
      </c>
      <c r="J205" s="4" t="s">
        <v>301</v>
      </c>
      <c r="K205" s="4">
        <v>173</v>
      </c>
      <c r="L205" s="5">
        <v>1</v>
      </c>
    </row>
    <row r="206" spans="1:12" x14ac:dyDescent="0.15">
      <c r="A206" s="3" t="s">
        <v>572</v>
      </c>
      <c r="B206" s="4">
        <f>ABILITY_HEADER!A90</f>
        <v>88</v>
      </c>
      <c r="C206" s="4" t="s">
        <v>328</v>
      </c>
      <c r="D206" s="4">
        <v>0</v>
      </c>
      <c r="E206" s="4">
        <v>0</v>
      </c>
      <c r="F206" s="4">
        <v>20</v>
      </c>
      <c r="G206" s="4">
        <v>0</v>
      </c>
      <c r="H206" s="4">
        <v>30</v>
      </c>
      <c r="I206" s="4" t="s">
        <v>301</v>
      </c>
      <c r="J206" s="4" t="s">
        <v>301</v>
      </c>
      <c r="K206" s="4">
        <v>148</v>
      </c>
      <c r="L206" s="5">
        <v>1</v>
      </c>
    </row>
    <row r="207" spans="1:12" x14ac:dyDescent="0.15">
      <c r="A207" s="3" t="s">
        <v>573</v>
      </c>
      <c r="B207" s="4">
        <f>ABILITY_HEADER!A77</f>
        <v>75</v>
      </c>
      <c r="C207" s="4" t="s">
        <v>357</v>
      </c>
      <c r="D207" s="4">
        <v>25</v>
      </c>
      <c r="E207" s="4">
        <v>0</v>
      </c>
      <c r="F207" s="4">
        <v>0</v>
      </c>
      <c r="G207" s="4">
        <v>0</v>
      </c>
      <c r="H207" s="4">
        <v>163</v>
      </c>
      <c r="I207" s="4" t="str">
        <f>A168</f>
        <v>A220</v>
      </c>
      <c r="J207" s="4" t="s">
        <v>301</v>
      </c>
      <c r="K207" s="4">
        <v>166</v>
      </c>
      <c r="L207" s="5">
        <v>1</v>
      </c>
    </row>
    <row r="208" spans="1:12" x14ac:dyDescent="0.15">
      <c r="A208" s="3" t="s">
        <v>574</v>
      </c>
      <c r="B208" s="4">
        <f>ABILITY_HEADER!A91</f>
        <v>89</v>
      </c>
      <c r="C208" s="4" t="s">
        <v>401</v>
      </c>
      <c r="D208" s="4">
        <v>108</v>
      </c>
      <c r="E208" s="4">
        <v>0</v>
      </c>
      <c r="F208" s="4">
        <v>72</v>
      </c>
      <c r="G208" s="4">
        <v>20</v>
      </c>
      <c r="H208" s="4">
        <v>176</v>
      </c>
      <c r="I208" s="4" t="s">
        <v>301</v>
      </c>
      <c r="J208" s="4" t="s">
        <v>301</v>
      </c>
      <c r="K208" s="4">
        <v>189</v>
      </c>
      <c r="L208" s="5">
        <v>1</v>
      </c>
    </row>
    <row r="209" spans="1:12" x14ac:dyDescent="0.15">
      <c r="A209" s="3" t="s">
        <v>575</v>
      </c>
      <c r="B209" s="4">
        <f>ABILITY_HEADER!A76</f>
        <v>74</v>
      </c>
      <c r="C209" s="4" t="s">
        <v>358</v>
      </c>
      <c r="D209" s="4">
        <v>56</v>
      </c>
      <c r="E209" s="4">
        <v>0</v>
      </c>
      <c r="F209" s="4">
        <v>38</v>
      </c>
      <c r="G209" s="4">
        <v>0</v>
      </c>
      <c r="H209" s="4">
        <v>94</v>
      </c>
      <c r="I209" s="4" t="str">
        <f>A167</f>
        <v>A219</v>
      </c>
      <c r="J209" s="4" t="s">
        <v>301</v>
      </c>
      <c r="K209" s="4">
        <v>210</v>
      </c>
      <c r="L209" s="5">
        <v>1</v>
      </c>
    </row>
    <row r="210" spans="1:12" x14ac:dyDescent="0.15">
      <c r="A210" s="3" t="s">
        <v>576</v>
      </c>
      <c r="B210" s="4">
        <f>ABILITY_HEADER!A92</f>
        <v>90</v>
      </c>
      <c r="C210" s="4" t="s">
        <v>330</v>
      </c>
      <c r="D210" s="4">
        <v>132</v>
      </c>
      <c r="E210" s="4">
        <v>0</v>
      </c>
      <c r="F210" s="4">
        <v>94</v>
      </c>
      <c r="G210" s="4">
        <v>94</v>
      </c>
      <c r="H210" s="4">
        <v>182</v>
      </c>
      <c r="I210" s="4" t="s">
        <v>301</v>
      </c>
      <c r="J210" s="4" t="s">
        <v>301</v>
      </c>
      <c r="K210" s="4">
        <v>265</v>
      </c>
      <c r="L210" s="5">
        <v>1</v>
      </c>
    </row>
    <row r="211" spans="1:12" x14ac:dyDescent="0.15">
      <c r="A211" s="3" t="s">
        <v>577</v>
      </c>
      <c r="B211" s="4">
        <f>ABILITY_HEADER!A85</f>
        <v>83</v>
      </c>
      <c r="C211" s="4" t="s">
        <v>402</v>
      </c>
      <c r="D211" s="4">
        <v>50</v>
      </c>
      <c r="E211" s="4">
        <v>0</v>
      </c>
      <c r="F211" s="4">
        <v>88</v>
      </c>
      <c r="G211" s="4">
        <v>50</v>
      </c>
      <c r="H211" s="4">
        <v>0</v>
      </c>
      <c r="I211" s="4" t="str">
        <f>A176</f>
        <v>A228</v>
      </c>
      <c r="J211" s="4" t="s">
        <v>301</v>
      </c>
      <c r="K211" s="4">
        <v>141</v>
      </c>
      <c r="L211" s="5">
        <v>1</v>
      </c>
    </row>
    <row r="212" spans="1:12" x14ac:dyDescent="0.15">
      <c r="A212" s="3" t="s">
        <v>578</v>
      </c>
      <c r="B212" s="4">
        <f>ABILITY_HEADER!A89</f>
        <v>87</v>
      </c>
      <c r="C212" s="4" t="s">
        <v>359</v>
      </c>
      <c r="D212" s="4">
        <v>0</v>
      </c>
      <c r="E212" s="4">
        <v>0</v>
      </c>
      <c r="F212" s="4">
        <v>48</v>
      </c>
      <c r="G212" s="4">
        <v>13</v>
      </c>
      <c r="H212" s="4">
        <v>65</v>
      </c>
      <c r="I212" s="4" t="str">
        <f>A180</f>
        <v>A232</v>
      </c>
      <c r="J212" s="4" t="s">
        <v>301</v>
      </c>
      <c r="K212" s="4">
        <v>150</v>
      </c>
      <c r="L212" s="5">
        <v>1</v>
      </c>
    </row>
    <row r="213" spans="1:12" x14ac:dyDescent="0.15">
      <c r="A213" s="3" t="s">
        <v>579</v>
      </c>
      <c r="B213" s="4">
        <f>ABILITY_HEADER!A79</f>
        <v>77</v>
      </c>
      <c r="C213" s="4" t="s">
        <v>403</v>
      </c>
      <c r="D213" s="4">
        <v>69</v>
      </c>
      <c r="E213" s="4">
        <v>0</v>
      </c>
      <c r="F213" s="4">
        <v>69</v>
      </c>
      <c r="G213" s="4">
        <v>69</v>
      </c>
      <c r="H213" s="4">
        <v>44</v>
      </c>
      <c r="I213" s="4" t="str">
        <f>A170</f>
        <v>A222</v>
      </c>
      <c r="J213" s="4" t="s">
        <v>301</v>
      </c>
      <c r="K213" s="4">
        <v>189</v>
      </c>
      <c r="L213" s="5">
        <v>1</v>
      </c>
    </row>
    <row r="214" spans="1:12" x14ac:dyDescent="0.15">
      <c r="A214" s="3" t="s">
        <v>580</v>
      </c>
      <c r="B214" s="4">
        <f>ABILITY_HEADER!A99</f>
        <v>97</v>
      </c>
      <c r="C214" s="4" t="s">
        <v>404</v>
      </c>
      <c r="D214" s="4">
        <v>60</v>
      </c>
      <c r="E214" s="4">
        <v>25</v>
      </c>
      <c r="F214" s="4">
        <v>25</v>
      </c>
      <c r="G214" s="4">
        <v>60</v>
      </c>
      <c r="H214" s="4">
        <v>80</v>
      </c>
      <c r="I214" s="4" t="s">
        <v>301</v>
      </c>
      <c r="J214" s="4" t="s">
        <v>301</v>
      </c>
      <c r="K214" s="4">
        <v>265</v>
      </c>
      <c r="L214" s="5">
        <v>1</v>
      </c>
    </row>
    <row r="215" spans="1:12" x14ac:dyDescent="0.15">
      <c r="A215" s="3" t="s">
        <v>585</v>
      </c>
      <c r="B215" s="4">
        <f>ABILITY_HEADER!A116</f>
        <v>114</v>
      </c>
      <c r="C215" s="4" t="s">
        <v>586</v>
      </c>
      <c r="D215" s="4">
        <v>37</v>
      </c>
      <c r="E215" s="4">
        <v>0</v>
      </c>
      <c r="F215" s="4">
        <v>37</v>
      </c>
      <c r="G215" s="4">
        <v>0</v>
      </c>
      <c r="H215" s="4">
        <v>50</v>
      </c>
      <c r="I215" s="4" t="str">
        <f>A181</f>
        <v>A233</v>
      </c>
      <c r="J215" s="4" t="s">
        <v>520</v>
      </c>
      <c r="K215" s="4">
        <v>150</v>
      </c>
      <c r="L215" s="5">
        <v>1</v>
      </c>
    </row>
    <row r="216" spans="1:12" x14ac:dyDescent="0.15">
      <c r="A216" s="3" t="s">
        <v>621</v>
      </c>
      <c r="B216" s="4">
        <f>ABILITY_HEADER!A119</f>
        <v>117</v>
      </c>
      <c r="C216" s="4" t="s">
        <v>622</v>
      </c>
      <c r="D216" s="4">
        <v>0</v>
      </c>
      <c r="E216" s="4">
        <v>8</v>
      </c>
      <c r="F216" s="4">
        <v>20</v>
      </c>
      <c r="G216" s="4">
        <v>110</v>
      </c>
      <c r="H216" s="4">
        <v>50</v>
      </c>
      <c r="I216" s="4" t="str">
        <f>A183</f>
        <v>A235</v>
      </c>
      <c r="J216" s="4" t="s">
        <v>512</v>
      </c>
      <c r="K216" s="4">
        <v>210</v>
      </c>
      <c r="L216" s="5">
        <v>1</v>
      </c>
    </row>
    <row r="217" spans="1:12" x14ac:dyDescent="0.15">
      <c r="A217" s="3" t="s">
        <v>1061</v>
      </c>
      <c r="B217" s="4">
        <f>ABILITY_HEADER!A121</f>
        <v>119</v>
      </c>
      <c r="C217" s="4" t="s">
        <v>1062</v>
      </c>
      <c r="D217" s="4">
        <v>50</v>
      </c>
      <c r="E217" s="4">
        <v>0</v>
      </c>
      <c r="F217" s="4">
        <v>35</v>
      </c>
      <c r="G217" s="4">
        <v>30</v>
      </c>
      <c r="H217" s="4">
        <v>10</v>
      </c>
      <c r="I217" s="4" t="str">
        <f>A184</f>
        <v>A236</v>
      </c>
      <c r="J217" s="4" t="s">
        <v>1063</v>
      </c>
      <c r="K217" s="4">
        <v>150</v>
      </c>
      <c r="L217" s="5">
        <v>1</v>
      </c>
    </row>
    <row r="218" spans="1:12" x14ac:dyDescent="0.15">
      <c r="A218" s="3" t="s">
        <v>1065</v>
      </c>
      <c r="B218" s="4">
        <f>ABILITY_HEADER!A122</f>
        <v>120</v>
      </c>
      <c r="C218" s="4" t="s">
        <v>1064</v>
      </c>
      <c r="D218" s="4">
        <v>126</v>
      </c>
      <c r="E218" s="4">
        <v>0</v>
      </c>
      <c r="F218" s="4">
        <v>92</v>
      </c>
      <c r="G218" s="4">
        <v>0</v>
      </c>
      <c r="H218" s="4">
        <v>32</v>
      </c>
      <c r="I218" s="4" t="s">
        <v>1056</v>
      </c>
      <c r="J218" s="4" t="s">
        <v>1060</v>
      </c>
      <c r="K218" s="4">
        <v>189</v>
      </c>
      <c r="L218" s="5">
        <v>1</v>
      </c>
    </row>
    <row r="219" spans="1:12" x14ac:dyDescent="0.15">
      <c r="A219" s="3" t="s">
        <v>1381</v>
      </c>
      <c r="B219" s="4">
        <f>ABILITY_HEADER!A123</f>
        <v>121</v>
      </c>
      <c r="C219" s="4" t="s">
        <v>1382</v>
      </c>
      <c r="D219" s="4">
        <v>54</v>
      </c>
      <c r="E219" s="4">
        <v>0</v>
      </c>
      <c r="F219" s="4">
        <v>80</v>
      </c>
      <c r="G219" s="4">
        <v>0</v>
      </c>
      <c r="H219" s="4">
        <v>54</v>
      </c>
      <c r="I219" s="4" t="str">
        <f>A185</f>
        <v>A237</v>
      </c>
      <c r="J219" s="4" t="s">
        <v>1383</v>
      </c>
      <c r="K219" s="4">
        <v>203</v>
      </c>
      <c r="L219" s="5">
        <v>1</v>
      </c>
    </row>
    <row r="220" spans="1:12" x14ac:dyDescent="0.15">
      <c r="A220" s="3" t="s">
        <v>1433</v>
      </c>
      <c r="B220" s="4">
        <f>ABILITY_HEADER!A125</f>
        <v>123</v>
      </c>
      <c r="C220" s="4" t="s">
        <v>1434</v>
      </c>
      <c r="D220" s="4">
        <v>54</v>
      </c>
      <c r="E220" s="4">
        <v>0</v>
      </c>
      <c r="F220" s="4">
        <v>80</v>
      </c>
      <c r="G220" s="4">
        <v>0</v>
      </c>
      <c r="H220" s="4">
        <v>54</v>
      </c>
      <c r="I220" s="4" t="str">
        <f>A186</f>
        <v>A238</v>
      </c>
      <c r="J220" s="4" t="s">
        <v>1435</v>
      </c>
      <c r="K220" s="4">
        <v>174</v>
      </c>
      <c r="L220" s="5">
        <v>1</v>
      </c>
    </row>
    <row r="221" spans="1:12" x14ac:dyDescent="0.15">
      <c r="A221" s="3" t="s">
        <v>1452</v>
      </c>
      <c r="B221" s="4">
        <f>ABILITY_HEADER!A128</f>
        <v>126</v>
      </c>
      <c r="C221" s="4" t="s">
        <v>1448</v>
      </c>
      <c r="D221" s="4">
        <v>150</v>
      </c>
      <c r="E221" s="4">
        <v>0</v>
      </c>
      <c r="F221" s="4">
        <v>0</v>
      </c>
      <c r="G221" s="4">
        <v>0</v>
      </c>
      <c r="H221" s="4">
        <v>225</v>
      </c>
      <c r="I221" s="4" t="s">
        <v>1449</v>
      </c>
      <c r="J221" s="4" t="s">
        <v>1453</v>
      </c>
      <c r="K221" s="4">
        <v>189</v>
      </c>
      <c r="L221" s="5">
        <v>1</v>
      </c>
    </row>
    <row r="222" spans="1:12" x14ac:dyDescent="0.15">
      <c r="A222" s="3" t="s">
        <v>1477</v>
      </c>
      <c r="B222" s="4">
        <f>ABILITY_HEADER!A131</f>
        <v>129</v>
      </c>
      <c r="C222" s="4" t="s">
        <v>1478</v>
      </c>
      <c r="D222" s="4">
        <v>0</v>
      </c>
      <c r="E222" s="4">
        <v>25</v>
      </c>
      <c r="F222" s="4">
        <v>110</v>
      </c>
      <c r="G222" s="4">
        <v>0</v>
      </c>
      <c r="H222" s="4">
        <v>115</v>
      </c>
      <c r="I222" s="4" t="str">
        <f>A188</f>
        <v>A240</v>
      </c>
      <c r="J222" s="4" t="s">
        <v>1479</v>
      </c>
      <c r="K222" s="4">
        <v>141</v>
      </c>
      <c r="L222" s="5">
        <v>1</v>
      </c>
    </row>
    <row r="223" spans="1:12" s="4" customFormat="1" x14ac:dyDescent="0.15">
      <c r="A223" s="3" t="s">
        <v>1503</v>
      </c>
      <c r="B223" s="4">
        <f>ABILITY_HEADER!A132</f>
        <v>130</v>
      </c>
      <c r="C223" s="4" t="s">
        <v>1481</v>
      </c>
      <c r="D223" s="4">
        <v>110</v>
      </c>
      <c r="E223" s="4">
        <v>0</v>
      </c>
      <c r="F223" s="4">
        <v>18</v>
      </c>
      <c r="G223" s="4">
        <v>0</v>
      </c>
      <c r="H223" s="4">
        <v>60</v>
      </c>
      <c r="I223" s="4" t="str">
        <f>A189</f>
        <v>A241</v>
      </c>
      <c r="J223" s="4" t="s">
        <v>1480</v>
      </c>
      <c r="K223" s="4">
        <v>148</v>
      </c>
      <c r="L223" s="5">
        <v>1</v>
      </c>
    </row>
    <row r="224" spans="1:12" s="4" customFormat="1" x14ac:dyDescent="0.15">
      <c r="A224" s="3" t="s">
        <v>1504</v>
      </c>
      <c r="B224" s="4">
        <f>ABILITY_HEADER!A138</f>
        <v>136</v>
      </c>
      <c r="C224" s="16" t="s">
        <v>1505</v>
      </c>
      <c r="D224" s="16">
        <v>0</v>
      </c>
      <c r="E224" s="16">
        <v>18</v>
      </c>
      <c r="F224" s="16">
        <v>0</v>
      </c>
      <c r="G224" s="16">
        <v>60</v>
      </c>
      <c r="H224" s="16">
        <v>110</v>
      </c>
      <c r="I224" s="16" t="str">
        <f>A191</f>
        <v>A243</v>
      </c>
      <c r="J224" s="16" t="s">
        <v>1506</v>
      </c>
      <c r="K224" s="16">
        <v>148</v>
      </c>
      <c r="L224" s="5">
        <v>1</v>
      </c>
    </row>
    <row r="225" spans="1:12" s="4" customFormat="1" x14ac:dyDescent="0.15">
      <c r="A225" s="3" t="s">
        <v>1670</v>
      </c>
      <c r="B225" s="4">
        <f>ABILITY_HEADER!A84</f>
        <v>82</v>
      </c>
      <c r="C225" s="16" t="s">
        <v>1671</v>
      </c>
      <c r="D225" s="4">
        <v>50</v>
      </c>
      <c r="E225" s="4">
        <v>0</v>
      </c>
      <c r="F225" s="4">
        <v>50</v>
      </c>
      <c r="G225" s="4">
        <v>38</v>
      </c>
      <c r="H225" s="4">
        <v>50</v>
      </c>
      <c r="I225" s="16" t="str">
        <f>A175</f>
        <v>A227</v>
      </c>
      <c r="J225" s="16" t="s">
        <v>1666</v>
      </c>
      <c r="K225" s="16">
        <v>148</v>
      </c>
      <c r="L225" s="5">
        <v>1</v>
      </c>
    </row>
    <row r="226" spans="1:12" s="4" customFormat="1" x14ac:dyDescent="0.15">
      <c r="A226" s="3" t="s">
        <v>1923</v>
      </c>
      <c r="B226" s="4">
        <f>ABILITY_HEADER!A142</f>
        <v>140</v>
      </c>
      <c r="C226" s="16" t="s">
        <v>1924</v>
      </c>
      <c r="D226" s="4">
        <v>113</v>
      </c>
      <c r="E226" s="4">
        <v>0</v>
      </c>
      <c r="F226" s="4">
        <v>0</v>
      </c>
      <c r="G226" s="4">
        <v>0</v>
      </c>
      <c r="H226" s="4">
        <v>75</v>
      </c>
      <c r="I226" s="16" t="str">
        <f>A192</f>
        <v>A244</v>
      </c>
      <c r="J226" s="16" t="s">
        <v>1925</v>
      </c>
      <c r="K226" s="16">
        <v>173</v>
      </c>
      <c r="L226" s="5">
        <v>1</v>
      </c>
    </row>
    <row r="227" spans="1:12" x14ac:dyDescent="0.15">
      <c r="A227" s="13" t="s">
        <v>405</v>
      </c>
      <c r="B227" s="14">
        <f>ABILITY_HEADER!A64</f>
        <v>62</v>
      </c>
      <c r="C227" s="14" t="s">
        <v>360</v>
      </c>
      <c r="D227" s="14">
        <v>0</v>
      </c>
      <c r="E227" s="14">
        <v>0</v>
      </c>
      <c r="F227" s="14">
        <v>10</v>
      </c>
      <c r="G227" s="14">
        <v>0</v>
      </c>
      <c r="H227" s="14">
        <v>50</v>
      </c>
      <c r="I227" s="14" t="str">
        <f>A228</f>
        <v>B101</v>
      </c>
      <c r="J227" s="14" t="s">
        <v>301</v>
      </c>
      <c r="K227" s="14">
        <v>0</v>
      </c>
      <c r="L227" s="15">
        <v>2</v>
      </c>
    </row>
    <row r="228" spans="1:12" x14ac:dyDescent="0.15">
      <c r="A228" s="3" t="s">
        <v>406</v>
      </c>
      <c r="B228" s="4">
        <f>ABILITY_HEADER!A64</f>
        <v>62</v>
      </c>
      <c r="C228" s="4" t="s">
        <v>361</v>
      </c>
      <c r="D228" s="4">
        <v>0</v>
      </c>
      <c r="E228" s="4">
        <v>0</v>
      </c>
      <c r="F228" s="4">
        <v>5</v>
      </c>
      <c r="G228" s="4">
        <v>0</v>
      </c>
      <c r="H228" s="4">
        <v>25</v>
      </c>
      <c r="I228" s="4" t="str">
        <f>A247</f>
        <v>P100</v>
      </c>
      <c r="J228" s="4" t="str">
        <f>A227</f>
        <v>B100</v>
      </c>
      <c r="K228" s="4">
        <v>0</v>
      </c>
      <c r="L228" s="5">
        <v>2</v>
      </c>
    </row>
    <row r="229" spans="1:12" x14ac:dyDescent="0.15">
      <c r="A229" s="3" t="s">
        <v>362</v>
      </c>
      <c r="B229" s="4">
        <f>ABILITY_HEADER!A65</f>
        <v>63</v>
      </c>
      <c r="C229" s="4" t="s">
        <v>363</v>
      </c>
      <c r="D229" s="4">
        <v>0</v>
      </c>
      <c r="E229" s="4">
        <v>0</v>
      </c>
      <c r="F229" s="4">
        <v>30</v>
      </c>
      <c r="G229" s="4">
        <v>0</v>
      </c>
      <c r="H229" s="4">
        <v>70</v>
      </c>
      <c r="I229" s="4" t="str">
        <f t="shared" ref="I229" si="4">A230</f>
        <v>B103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364</v>
      </c>
      <c r="B230" s="4">
        <f>ABILITY_HEADER!A65</f>
        <v>63</v>
      </c>
      <c r="C230" s="4" t="s">
        <v>365</v>
      </c>
      <c r="D230" s="4">
        <v>0</v>
      </c>
      <c r="E230" s="4">
        <v>0</v>
      </c>
      <c r="F230" s="4">
        <v>15</v>
      </c>
      <c r="G230" s="4">
        <v>0</v>
      </c>
      <c r="H230" s="4">
        <v>35</v>
      </c>
      <c r="I230" s="4" t="str">
        <f>A248</f>
        <v>P101</v>
      </c>
      <c r="J230" s="4" t="str">
        <f>A229</f>
        <v>B102</v>
      </c>
      <c r="K230" s="4">
        <v>0</v>
      </c>
      <c r="L230" s="5">
        <v>2</v>
      </c>
    </row>
    <row r="231" spans="1:12" x14ac:dyDescent="0.15">
      <c r="A231" s="3" t="s">
        <v>366</v>
      </c>
      <c r="B231" s="4">
        <f>ABILITY_HEADER!A66</f>
        <v>64</v>
      </c>
      <c r="C231" s="4" t="s">
        <v>367</v>
      </c>
      <c r="D231" s="4">
        <v>24</v>
      </c>
      <c r="E231" s="4">
        <v>0</v>
      </c>
      <c r="F231" s="4">
        <v>52</v>
      </c>
      <c r="G231" s="4">
        <v>0</v>
      </c>
      <c r="H231" s="4">
        <v>24</v>
      </c>
      <c r="I231" s="4" t="str">
        <f t="shared" ref="I231" si="5">A232</f>
        <v>B105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368</v>
      </c>
      <c r="B232" s="4">
        <f>ABILITY_HEADER!A66</f>
        <v>64</v>
      </c>
      <c r="C232" s="4" t="s">
        <v>369</v>
      </c>
      <c r="D232" s="4">
        <v>12</v>
      </c>
      <c r="E232" s="4">
        <v>0</v>
      </c>
      <c r="F232" s="4">
        <v>26</v>
      </c>
      <c r="G232" s="4">
        <v>0</v>
      </c>
      <c r="H232" s="4">
        <v>12</v>
      </c>
      <c r="I232" s="4" t="s">
        <v>301</v>
      </c>
      <c r="J232" s="4" t="str">
        <f t="shared" ref="J232" si="6">A231</f>
        <v>B104</v>
      </c>
      <c r="K232" s="4">
        <v>0</v>
      </c>
      <c r="L232" s="5">
        <v>2</v>
      </c>
    </row>
    <row r="233" spans="1:12" x14ac:dyDescent="0.15">
      <c r="A233" s="3" t="s">
        <v>370</v>
      </c>
      <c r="B233" s="4">
        <f>ABILITY_HEADER!A67</f>
        <v>65</v>
      </c>
      <c r="C233" s="4" t="s">
        <v>393</v>
      </c>
      <c r="D233" s="4">
        <v>82</v>
      </c>
      <c r="E233" s="4">
        <v>0</v>
      </c>
      <c r="F233" s="4">
        <v>62</v>
      </c>
      <c r="G233" s="4">
        <v>0</v>
      </c>
      <c r="H233" s="4">
        <v>22</v>
      </c>
      <c r="I233" s="4" t="str">
        <f t="shared" ref="I233" si="7">A234</f>
        <v>B107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371</v>
      </c>
      <c r="B234" s="4">
        <f>ABILITY_HEADER!A67</f>
        <v>65</v>
      </c>
      <c r="C234" s="4" t="s">
        <v>407</v>
      </c>
      <c r="D234" s="4">
        <v>41</v>
      </c>
      <c r="E234" s="4">
        <v>0</v>
      </c>
      <c r="F234" s="4">
        <v>31</v>
      </c>
      <c r="G234" s="4">
        <v>0</v>
      </c>
      <c r="H234" s="4">
        <v>11</v>
      </c>
      <c r="I234" s="4" t="s">
        <v>301</v>
      </c>
      <c r="J234" s="4" t="str">
        <f t="shared" ref="J234" si="8">A233</f>
        <v>B106</v>
      </c>
      <c r="K234" s="4">
        <v>0</v>
      </c>
      <c r="L234" s="5">
        <v>2</v>
      </c>
    </row>
    <row r="235" spans="1:12" x14ac:dyDescent="0.15">
      <c r="A235" s="3" t="s">
        <v>372</v>
      </c>
      <c r="B235" s="4">
        <f>ABILITY_HEADER!A68</f>
        <v>66</v>
      </c>
      <c r="C235" s="4" t="s">
        <v>408</v>
      </c>
      <c r="D235" s="4">
        <v>0</v>
      </c>
      <c r="E235" s="4">
        <v>30</v>
      </c>
      <c r="F235" s="4">
        <v>20</v>
      </c>
      <c r="G235" s="4">
        <v>0</v>
      </c>
      <c r="H235" s="4">
        <v>0</v>
      </c>
      <c r="I235" s="4" t="str">
        <f t="shared" ref="I235" si="9">A236</f>
        <v>B109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373</v>
      </c>
      <c r="B236" s="4">
        <f>ABILITY_HEADER!A68</f>
        <v>66</v>
      </c>
      <c r="C236" s="4" t="s">
        <v>409</v>
      </c>
      <c r="D236" s="4">
        <v>0</v>
      </c>
      <c r="E236" s="4">
        <v>15</v>
      </c>
      <c r="F236" s="4">
        <v>10</v>
      </c>
      <c r="G236" s="4">
        <v>0</v>
      </c>
      <c r="H236" s="4">
        <v>0</v>
      </c>
      <c r="I236" s="4" t="s">
        <v>301</v>
      </c>
      <c r="J236" s="4" t="str">
        <f t="shared" ref="J236" si="10">A235</f>
        <v>B108</v>
      </c>
      <c r="K236" s="4">
        <v>0</v>
      </c>
      <c r="L236" s="5">
        <v>2</v>
      </c>
    </row>
    <row r="237" spans="1:12" x14ac:dyDescent="0.15">
      <c r="A237" s="3" t="s">
        <v>374</v>
      </c>
      <c r="B237" s="4">
        <f>ABILITY_HEADER!A73</f>
        <v>71</v>
      </c>
      <c r="C237" s="4" t="s">
        <v>375</v>
      </c>
      <c r="D237" s="4">
        <v>0</v>
      </c>
      <c r="E237" s="4">
        <v>0</v>
      </c>
      <c r="F237" s="4">
        <v>0</v>
      </c>
      <c r="G237" s="4">
        <v>0</v>
      </c>
      <c r="H237" s="4">
        <v>31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376</v>
      </c>
      <c r="B238" s="4">
        <f>ABILITY_HEADER!A75</f>
        <v>73</v>
      </c>
      <c r="C238" s="4" t="s">
        <v>377</v>
      </c>
      <c r="D238" s="4">
        <v>40</v>
      </c>
      <c r="E238" s="4">
        <v>0</v>
      </c>
      <c r="F238" s="4">
        <v>23</v>
      </c>
      <c r="G238" s="4">
        <v>0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378</v>
      </c>
      <c r="B239" s="4">
        <f>ABILITY_HEADER!A82</f>
        <v>80</v>
      </c>
      <c r="C239" s="4" t="s">
        <v>379</v>
      </c>
      <c r="D239" s="4">
        <v>13</v>
      </c>
      <c r="E239" s="4">
        <v>0</v>
      </c>
      <c r="F239" s="4">
        <v>31</v>
      </c>
      <c r="G239" s="4">
        <v>16</v>
      </c>
      <c r="H239" s="4">
        <v>3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380</v>
      </c>
      <c r="B240" s="4">
        <f>ABILITY_HEADER!A83</f>
        <v>81</v>
      </c>
      <c r="C240" s="4" t="s">
        <v>381</v>
      </c>
      <c r="D240" s="4">
        <v>9</v>
      </c>
      <c r="E240" s="4">
        <v>0</v>
      </c>
      <c r="F240" s="4">
        <v>9</v>
      </c>
      <c r="G240" s="4">
        <v>9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382</v>
      </c>
      <c r="B241" s="4">
        <f>ABILITY_HEADER!A93</f>
        <v>91</v>
      </c>
      <c r="C241" s="4" t="s">
        <v>331</v>
      </c>
      <c r="D241" s="4">
        <v>13</v>
      </c>
      <c r="E241" s="4">
        <v>0</v>
      </c>
      <c r="F241" s="4">
        <v>44</v>
      </c>
      <c r="G241" s="4">
        <v>38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383</v>
      </c>
      <c r="B242" s="4">
        <f>ABILITY_HEADER!A94</f>
        <v>92</v>
      </c>
      <c r="C242" s="4" t="s">
        <v>332</v>
      </c>
      <c r="D242" s="4">
        <v>0</v>
      </c>
      <c r="E242" s="4">
        <v>13</v>
      </c>
      <c r="F242" s="4">
        <v>25</v>
      </c>
      <c r="G242" s="4">
        <v>0</v>
      </c>
      <c r="H242" s="4">
        <v>25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384</v>
      </c>
      <c r="B243" s="4">
        <f>ABILITY_HEADER!A95</f>
        <v>93</v>
      </c>
      <c r="C243" s="4" t="s">
        <v>333</v>
      </c>
      <c r="D243" s="4">
        <v>0</v>
      </c>
      <c r="E243" s="4">
        <v>0</v>
      </c>
      <c r="F243" s="4">
        <v>6</v>
      </c>
      <c r="G243" s="4">
        <v>0</v>
      </c>
      <c r="H243" s="4">
        <v>25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385</v>
      </c>
      <c r="B244" s="4">
        <f>ABILITY_HEADER!A96</f>
        <v>94</v>
      </c>
      <c r="C244" s="4" t="s">
        <v>334</v>
      </c>
      <c r="D244" s="4">
        <v>0</v>
      </c>
      <c r="E244" s="4">
        <v>0</v>
      </c>
      <c r="F244" s="4">
        <v>13</v>
      </c>
      <c r="G244" s="4">
        <v>0</v>
      </c>
      <c r="H244" s="4">
        <v>19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386</v>
      </c>
      <c r="B245" s="4">
        <f>ABILITY_HEADER!A97</f>
        <v>95</v>
      </c>
      <c r="C245" s="4" t="s">
        <v>335</v>
      </c>
      <c r="D245" s="4">
        <v>13</v>
      </c>
      <c r="E245" s="4">
        <v>0</v>
      </c>
      <c r="F245" s="4">
        <v>13</v>
      </c>
      <c r="G245" s="4">
        <v>13</v>
      </c>
      <c r="H245" s="4">
        <v>25</v>
      </c>
      <c r="I245" s="4" t="s">
        <v>301</v>
      </c>
      <c r="J245" s="4" t="s">
        <v>301</v>
      </c>
      <c r="K245" s="4">
        <v>0</v>
      </c>
      <c r="L245" s="5">
        <v>2</v>
      </c>
    </row>
    <row r="246" spans="1:12" x14ac:dyDescent="0.15">
      <c r="A246" s="3" t="s">
        <v>387</v>
      </c>
      <c r="B246" s="4">
        <f>ABILITY_HEADER!A98</f>
        <v>96</v>
      </c>
      <c r="C246" s="4" t="s">
        <v>336</v>
      </c>
      <c r="D246" s="4">
        <v>0</v>
      </c>
      <c r="E246" s="4">
        <v>0</v>
      </c>
      <c r="F246" s="4">
        <v>19</v>
      </c>
      <c r="G246" s="4">
        <v>0</v>
      </c>
      <c r="H246" s="4">
        <v>75</v>
      </c>
      <c r="I246" s="4" t="s">
        <v>301</v>
      </c>
      <c r="J246" s="4" t="s">
        <v>301</v>
      </c>
      <c r="K246" s="4">
        <v>0</v>
      </c>
      <c r="L246" s="5">
        <v>2</v>
      </c>
    </row>
    <row r="247" spans="1:12" x14ac:dyDescent="0.15">
      <c r="A247" s="3" t="s">
        <v>410</v>
      </c>
      <c r="B247" s="4">
        <f>ABILITY_HEADER!A64</f>
        <v>62</v>
      </c>
      <c r="C247" s="4" t="s">
        <v>388</v>
      </c>
      <c r="D247" s="4">
        <v>0</v>
      </c>
      <c r="E247" s="4">
        <v>0</v>
      </c>
      <c r="F247" s="4">
        <v>20</v>
      </c>
      <c r="G247" s="4">
        <v>0</v>
      </c>
      <c r="H247" s="4">
        <v>100</v>
      </c>
      <c r="I247" s="4" t="s">
        <v>301</v>
      </c>
      <c r="J247" s="4" t="str">
        <f>A228</f>
        <v>B101</v>
      </c>
      <c r="K247" s="4">
        <v>0</v>
      </c>
      <c r="L247" s="5">
        <v>3</v>
      </c>
    </row>
    <row r="248" spans="1:12" x14ac:dyDescent="0.15">
      <c r="A248" s="7" t="s">
        <v>389</v>
      </c>
      <c r="B248" s="8">
        <f>ABILITY_HEADER!A65</f>
        <v>63</v>
      </c>
      <c r="C248" s="8" t="s">
        <v>390</v>
      </c>
      <c r="D248" s="8">
        <v>0</v>
      </c>
      <c r="E248" s="8">
        <v>0</v>
      </c>
      <c r="F248" s="4">
        <v>60</v>
      </c>
      <c r="G248" s="4">
        <v>0</v>
      </c>
      <c r="H248" s="4">
        <v>140</v>
      </c>
      <c r="I248" s="8" t="s">
        <v>301</v>
      </c>
      <c r="J248" s="8" t="str">
        <f>A230</f>
        <v>B103</v>
      </c>
      <c r="K248" s="8">
        <v>0</v>
      </c>
      <c r="L248" s="9">
        <v>3</v>
      </c>
    </row>
    <row r="249" spans="1:12" x14ac:dyDescent="0.15">
      <c r="A249" s="3" t="s">
        <v>429</v>
      </c>
      <c r="B249" s="4">
        <f>ABILITY_HEADER!A100</f>
        <v>98</v>
      </c>
      <c r="C249" s="4" t="s">
        <v>411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430</v>
      </c>
      <c r="B250" s="4">
        <f>ABILITY_HEADER!A100</f>
        <v>98</v>
      </c>
      <c r="C250" s="4" t="s">
        <v>412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431</v>
      </c>
      <c r="B251" s="4">
        <f>ABILITY_HEADER!A101</f>
        <v>99</v>
      </c>
      <c r="C251" s="4" t="s">
        <v>413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432</v>
      </c>
      <c r="B252" s="4">
        <f>ABILITY_HEADER!A101</f>
        <v>99</v>
      </c>
      <c r="C252" s="4" t="s">
        <v>451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433</v>
      </c>
      <c r="B253" s="4">
        <f>ABILITY_HEADER!A102</f>
        <v>100</v>
      </c>
      <c r="C253" s="4" t="s">
        <v>452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434</v>
      </c>
      <c r="B254" s="4">
        <f>ABILITY_HEADER!A102</f>
        <v>100</v>
      </c>
      <c r="C254" s="4" t="s">
        <v>414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435</v>
      </c>
      <c r="B255" s="4">
        <f>ABILITY_HEADER!A103</f>
        <v>101</v>
      </c>
      <c r="C255" s="4" t="s">
        <v>415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436</v>
      </c>
      <c r="B256" s="4">
        <f>ABILITY_HEADER!A103</f>
        <v>101</v>
      </c>
      <c r="C256" s="4" t="s">
        <v>416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437</v>
      </c>
      <c r="B257" s="4">
        <f>ABILITY_HEADER!A104</f>
        <v>102</v>
      </c>
      <c r="C257" s="4" t="s">
        <v>453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438</v>
      </c>
      <c r="B258" s="4">
        <f>ABILITY_HEADER!A105</f>
        <v>103</v>
      </c>
      <c r="C258" s="4" t="s">
        <v>454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439</v>
      </c>
      <c r="B259" s="4">
        <f>ABILITY_HEADER!A105</f>
        <v>103</v>
      </c>
      <c r="C259" s="4" t="s">
        <v>418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440</v>
      </c>
      <c r="B260" s="4">
        <f>ABILITY_HEADER!A106</f>
        <v>104</v>
      </c>
      <c r="C260" s="4" t="s">
        <v>455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11.76</v>
      </c>
      <c r="L260" s="5">
        <v>5</v>
      </c>
    </row>
    <row r="261" spans="1:12" x14ac:dyDescent="0.15">
      <c r="A261" s="3" t="s">
        <v>441</v>
      </c>
      <c r="B261" s="4">
        <f>ABILITY_HEADER!A107</f>
        <v>105</v>
      </c>
      <c r="C261" s="4" t="s">
        <v>420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442</v>
      </c>
      <c r="B262" s="4">
        <f>ABILITY_HEADER!A107</f>
        <v>105</v>
      </c>
      <c r="C262" s="4" t="s">
        <v>421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443</v>
      </c>
      <c r="B263" s="4">
        <f>ABILITY_HEADER!A108</f>
        <v>106</v>
      </c>
      <c r="C263" s="4" t="s">
        <v>456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16</v>
      </c>
      <c r="L263" s="5">
        <v>5</v>
      </c>
    </row>
    <row r="264" spans="1:12" x14ac:dyDescent="0.15">
      <c r="A264" s="3" t="s">
        <v>444</v>
      </c>
      <c r="B264" s="4">
        <f>ABILITY_HEADER!A109</f>
        <v>107</v>
      </c>
      <c r="C264" s="4" t="s">
        <v>423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445</v>
      </c>
      <c r="B265" s="4">
        <f>ABILITY_HEADER!A109</f>
        <v>107</v>
      </c>
      <c r="C265" s="4" t="s">
        <v>424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446</v>
      </c>
      <c r="B266" s="4">
        <f>ABILITY_HEADER!A110</f>
        <v>108</v>
      </c>
      <c r="C266" s="4" t="s">
        <v>425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447</v>
      </c>
      <c r="B267" s="4">
        <f>ABILITY_HEADER!A111</f>
        <v>109</v>
      </c>
      <c r="C267" s="4" t="s">
        <v>426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0</v>
      </c>
      <c r="L267" s="5">
        <v>5</v>
      </c>
    </row>
    <row r="268" spans="1:12" x14ac:dyDescent="0.15">
      <c r="A268" s="3" t="s">
        <v>448</v>
      </c>
      <c r="B268" s="4">
        <f>ABILITY_HEADER!A112</f>
        <v>110</v>
      </c>
      <c r="C268" s="4" t="s">
        <v>427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0</v>
      </c>
      <c r="L268" s="5">
        <v>5</v>
      </c>
    </row>
    <row r="269" spans="1:12" x14ac:dyDescent="0.15">
      <c r="A269" s="3" t="s">
        <v>449</v>
      </c>
      <c r="B269" s="4">
        <f>ABILITY_HEADER!A113</f>
        <v>111</v>
      </c>
      <c r="C269" s="4" t="s">
        <v>457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15.68</v>
      </c>
      <c r="L269" s="5">
        <v>5</v>
      </c>
    </row>
    <row r="270" spans="1:12" x14ac:dyDescent="0.15">
      <c r="A270" s="3" t="s">
        <v>450</v>
      </c>
      <c r="B270" s="4">
        <f>ABILITY_HEADER!A113</f>
        <v>111</v>
      </c>
      <c r="C270" s="4" t="s">
        <v>428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301</v>
      </c>
      <c r="J270" s="4" t="s">
        <v>301</v>
      </c>
      <c r="K270" s="4">
        <v>-15.68</v>
      </c>
      <c r="L270" s="5">
        <v>5</v>
      </c>
    </row>
    <row r="271" spans="1:12" x14ac:dyDescent="0.15">
      <c r="A271" s="3" t="s">
        <v>1483</v>
      </c>
      <c r="B271" s="4">
        <f>ABILITY_HEADER!A134</f>
        <v>132</v>
      </c>
      <c r="C271" s="4" t="s">
        <v>457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301</v>
      </c>
      <c r="J271" s="4" t="s">
        <v>301</v>
      </c>
      <c r="K271" s="4">
        <v>41</v>
      </c>
      <c r="L271" s="5">
        <v>5</v>
      </c>
    </row>
    <row r="272" spans="1:12" x14ac:dyDescent="0.15">
      <c r="A272" s="7" t="s">
        <v>1484</v>
      </c>
      <c r="B272" s="8">
        <f>ABILITY_HEADER!A134</f>
        <v>132</v>
      </c>
      <c r="C272" s="8" t="s">
        <v>428</v>
      </c>
      <c r="D272" s="8">
        <v>0</v>
      </c>
      <c r="E272" s="8">
        <v>0</v>
      </c>
      <c r="F272" s="8">
        <v>0</v>
      </c>
      <c r="G272" s="8">
        <v>0</v>
      </c>
      <c r="H272" s="8">
        <v>0</v>
      </c>
      <c r="I272" s="8" t="s">
        <v>301</v>
      </c>
      <c r="J272" s="8" t="s">
        <v>301</v>
      </c>
      <c r="K272" s="8">
        <v>0</v>
      </c>
      <c r="L272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VLOOKUP(B2,ABILITY_DETAIL!$A$2:$C$270,3,FALSE)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VLOOKUP(B3,ABILITY_DETAIL!$A$2:$C$270,3,FALSE)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VLOOKUP(B4,ABILITY_DETAIL!$A$2:$C$270,3,FALSE)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VLOOKUP(B5,ABILITY_DETAIL!$A$2:$C$270,3,FALSE)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VLOOKUP(B6,ABILITY_DETAIL!$A$2:$C$270,3,FALSE)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VLOOKUP(B7,ABILITY_DETAIL!$A$2:$C$270,3,FALSE)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VLOOKUP(B8,ABILITY_DETAIL!$A$2:$C$270,3,FALSE)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VLOOKUP(B9,ABILITY_DETAIL!$A$2:$C$270,3,FALSE)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VLOOKUP(B10,ABILITY_DETAIL!$A$2:$C$270,3,FALSE)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VLOOKUP(B11,ABILITY_DETAIL!$A$2:$C$270,3,FALSE)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VLOOKUP(B12,ABILITY_DETAIL!$A$2:$C$270,3,FALSE)</f>
        <v>#N/A</v>
      </c>
    </row>
    <row r="13" spans="1:4" x14ac:dyDescent="0.15">
      <c r="A13" s="1" t="s">
        <v>1349</v>
      </c>
      <c r="C13" s="2" t="e">
        <f>VLOOKUP(B13,ABILITY_DETAIL!$A$2:$C$270,3,FALSE)</f>
        <v>#N/A</v>
      </c>
    </row>
    <row r="14" spans="1:4" x14ac:dyDescent="0.15">
      <c r="C14" s="2" t="e">
        <f>VLOOKUP(B14,ABILITY_DETAIL!$A$2:$C$270,3,FALSE)</f>
        <v>#N/A</v>
      </c>
    </row>
    <row r="15" spans="1:4" x14ac:dyDescent="0.15">
      <c r="C15" s="2" t="e">
        <f>VLOOKUP(B15,ABILITY_DETAIL!$A$2:$C$270,3,FALSE)</f>
        <v>#N/A</v>
      </c>
    </row>
    <row r="16" spans="1:4" x14ac:dyDescent="0.15">
      <c r="C16" s="2" t="e">
        <f>VLOOKUP(B16,ABILITY_DETAIL!$A$2:$C$270,3,FALSE)</f>
        <v>#N/A</v>
      </c>
    </row>
    <row r="17" spans="3:3" x14ac:dyDescent="0.15">
      <c r="C17" s="2" t="e">
        <f>VLOOKUP(B17,ABILITY_DETAIL!$A$2:$C$270,3,FALSE)</f>
        <v>#N/A</v>
      </c>
    </row>
    <row r="18" spans="3:3" x14ac:dyDescent="0.15">
      <c r="C18" s="2" t="e">
        <f>VLOOKUP(B18,ABILITY_DETAIL!$A$2:$C$270,3,FALSE)</f>
        <v>#N/A</v>
      </c>
    </row>
    <row r="19" spans="3:3" x14ac:dyDescent="0.15">
      <c r="C19" s="2" t="e">
        <f>VLOOKUP(B19,ABILITY_DETAIL!$A$2:$C$270,3,FALSE)</f>
        <v>#N/A</v>
      </c>
    </row>
    <row r="20" spans="3:3" x14ac:dyDescent="0.15">
      <c r="C20" s="2" t="e">
        <f>VLOOKUP(B20,ABILITY_DETAIL!$A$2:$C$270,3,FALSE)</f>
        <v>#N/A</v>
      </c>
    </row>
    <row r="21" spans="3:3" x14ac:dyDescent="0.15">
      <c r="C21" s="2" t="e">
        <f>VLOOKUP(B21,ABILITY_DETAIL!$A$2:$C$270,3,FALSE)</f>
        <v>#N/A</v>
      </c>
    </row>
    <row r="22" spans="3:3" x14ac:dyDescent="0.15">
      <c r="C22" s="2" t="e">
        <f>VLOOKUP(B22,ABILITY_DETAIL!$A$2:$C$270,3,FALSE)</f>
        <v>#N/A</v>
      </c>
    </row>
    <row r="23" spans="3:3" x14ac:dyDescent="0.15">
      <c r="C23" s="2" t="e">
        <f>VLOOKUP(B23,ABILITY_DETAIL!$A$2:$C$270,3,FALSE)</f>
        <v>#N/A</v>
      </c>
    </row>
    <row r="24" spans="3:3" x14ac:dyDescent="0.15">
      <c r="C24" s="2" t="e">
        <f>VLOOKUP(B24,ABILITY_DETAIL!$A$2:$C$270,3,FALSE)</f>
        <v>#N/A</v>
      </c>
    </row>
    <row r="25" spans="3:3" x14ac:dyDescent="0.15">
      <c r="C25" s="2" t="e">
        <f>VLOOKUP(B25,ABILITY_DETAIL!$A$2:$C$270,3,FALSE)</f>
        <v>#N/A</v>
      </c>
    </row>
    <row r="26" spans="3:3" x14ac:dyDescent="0.15">
      <c r="C26" s="2" t="e">
        <f>VLOOKUP(B26,ABILITY_DETAIL!$A$2:$C$270,3,FALSE)</f>
        <v>#N/A</v>
      </c>
    </row>
    <row r="27" spans="3:3" x14ac:dyDescent="0.15">
      <c r="C27" s="2" t="e">
        <f>VLOOKUP(B27,ABILITY_DETAIL!$A$2:$C$270,3,FALSE)</f>
        <v>#N/A</v>
      </c>
    </row>
    <row r="28" spans="3:3" x14ac:dyDescent="0.15">
      <c r="C28" s="2" t="e">
        <f>VLOOKUP(B28,ABILITY_DETAIL!$A$2:$C$270,3,FALSE)</f>
        <v>#N/A</v>
      </c>
    </row>
    <row r="29" spans="3:3" x14ac:dyDescent="0.15">
      <c r="C29" s="2" t="e">
        <f>VLOOKUP(B29,ABILITY_DETAIL!$A$2:$C$270,3,FALSE)</f>
        <v>#N/A</v>
      </c>
    </row>
    <row r="30" spans="3:3" x14ac:dyDescent="0.15">
      <c r="C30" s="2" t="e">
        <f>VLOOKUP(B30,ABILITY_DETAIL!$A$2:$C$270,3,FALSE)</f>
        <v>#N/A</v>
      </c>
    </row>
    <row r="31" spans="3:3" x14ac:dyDescent="0.15">
      <c r="C31" s="2" t="e">
        <f>VLOOKUP(B31,ABILITY_DETAIL!$A$2:$C$270,3,FALSE)</f>
        <v>#N/A</v>
      </c>
    </row>
    <row r="32" spans="3:3" x14ac:dyDescent="0.15">
      <c r="C32" s="2" t="e">
        <f>VLOOKUP(B32,ABILITY_DETAIL!$A$2:$C$270,3,FALSE)</f>
        <v>#N/A</v>
      </c>
    </row>
    <row r="33" spans="3:3" x14ac:dyDescent="0.15">
      <c r="C33" s="2" t="e">
        <f>VLOOKUP(B33,ABILITY_DETAIL!$A$2:$C$270,3,FALSE)</f>
        <v>#N/A</v>
      </c>
    </row>
    <row r="34" spans="3:3" x14ac:dyDescent="0.15">
      <c r="C34" s="2" t="e">
        <f>VLOOKUP(B34,ABILITY_DETAIL!$A$2:$C$270,3,FALSE)</f>
        <v>#N/A</v>
      </c>
    </row>
    <row r="35" spans="3:3" x14ac:dyDescent="0.15">
      <c r="C35" s="2" t="e">
        <f>VLOOKUP(B35,ABILITY_DETAIL!$A$2:$C$270,3,FALSE)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87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  <row r="278" spans="1:7" x14ac:dyDescent="0.15">
      <c r="A278" s="1" t="s">
        <v>1926</v>
      </c>
      <c r="B278" s="1" t="s">
        <v>1927</v>
      </c>
      <c r="C278" s="1" t="s">
        <v>1928</v>
      </c>
      <c r="D278" s="1" t="str">
        <f>A201</f>
        <v>200</v>
      </c>
      <c r="E278" s="1" t="s">
        <v>1929</v>
      </c>
      <c r="F278" s="1" t="s">
        <v>1930</v>
      </c>
      <c r="G278" s="1" t="s">
        <v>1931</v>
      </c>
    </row>
    <row r="279" spans="1:7" x14ac:dyDescent="0.15">
      <c r="A279" s="1" t="s">
        <v>1933</v>
      </c>
      <c r="B279" s="1" t="s">
        <v>1942</v>
      </c>
      <c r="C279" s="1" t="s">
        <v>1943</v>
      </c>
      <c r="D279" s="1" t="str">
        <f>A191</f>
        <v>190</v>
      </c>
      <c r="E279" s="1" t="s">
        <v>1932</v>
      </c>
      <c r="F279" s="1" t="s">
        <v>1972</v>
      </c>
      <c r="G279" s="1" t="s">
        <v>1944</v>
      </c>
    </row>
    <row r="280" spans="1:7" x14ac:dyDescent="0.15">
      <c r="A280" s="1" t="s">
        <v>1934</v>
      </c>
      <c r="B280" s="1" t="s">
        <v>1945</v>
      </c>
      <c r="C280" s="1" t="s">
        <v>1946</v>
      </c>
      <c r="D280" s="1" t="str">
        <f>A132</f>
        <v>131</v>
      </c>
      <c r="E280" s="1" t="s">
        <v>1947</v>
      </c>
      <c r="F280" s="1" t="s">
        <v>1948</v>
      </c>
      <c r="G280" s="1" t="s">
        <v>1931</v>
      </c>
    </row>
    <row r="281" spans="1:7" x14ac:dyDescent="0.15">
      <c r="A281" s="1" t="s">
        <v>1935</v>
      </c>
      <c r="B281" s="1" t="s">
        <v>1949</v>
      </c>
      <c r="C281" s="1" t="s">
        <v>1950</v>
      </c>
      <c r="D281" s="1" t="str">
        <f>A133</f>
        <v>132</v>
      </c>
      <c r="E281" s="1" t="s">
        <v>1931</v>
      </c>
      <c r="F281" s="1" t="s">
        <v>1931</v>
      </c>
      <c r="G281" s="1" t="s">
        <v>1947</v>
      </c>
    </row>
    <row r="282" spans="1:7" x14ac:dyDescent="0.15">
      <c r="A282" s="1" t="s">
        <v>1936</v>
      </c>
      <c r="B282" s="1" t="s">
        <v>1951</v>
      </c>
      <c r="C282" s="1" t="s">
        <v>1952</v>
      </c>
      <c r="D282" s="1" t="s">
        <v>1953</v>
      </c>
      <c r="E282" s="1" t="s">
        <v>1947</v>
      </c>
      <c r="F282" s="1" t="s">
        <v>1954</v>
      </c>
      <c r="G282" s="1" t="s">
        <v>1931</v>
      </c>
    </row>
    <row r="283" spans="1:7" x14ac:dyDescent="0.15">
      <c r="A283" s="1" t="s">
        <v>1937</v>
      </c>
      <c r="B283" s="1" t="s">
        <v>1955</v>
      </c>
      <c r="C283" s="1" t="s">
        <v>1956</v>
      </c>
      <c r="D283" s="1" t="s">
        <v>1930</v>
      </c>
      <c r="E283" s="1" t="s">
        <v>1944</v>
      </c>
      <c r="F283" s="1" t="s">
        <v>1957</v>
      </c>
      <c r="G283" s="1" t="s">
        <v>1957</v>
      </c>
    </row>
    <row r="284" spans="1:7" x14ac:dyDescent="0.15">
      <c r="A284" s="1" t="s">
        <v>1938</v>
      </c>
      <c r="B284" s="1" t="s">
        <v>1958</v>
      </c>
      <c r="C284" s="1" t="s">
        <v>1959</v>
      </c>
      <c r="D284" s="1" t="s">
        <v>1930</v>
      </c>
      <c r="E284" s="1" t="s">
        <v>1961</v>
      </c>
      <c r="F284" s="1" t="s">
        <v>1962</v>
      </c>
      <c r="G284" s="1" t="s">
        <v>1961</v>
      </c>
    </row>
    <row r="285" spans="1:7" x14ac:dyDescent="0.15">
      <c r="A285" s="1" t="s">
        <v>1939</v>
      </c>
      <c r="B285" s="1" t="s">
        <v>1963</v>
      </c>
      <c r="C285" s="1" t="s">
        <v>1964</v>
      </c>
      <c r="D285" s="1" t="s">
        <v>1930</v>
      </c>
      <c r="E285" s="1" t="s">
        <v>1931</v>
      </c>
      <c r="F285" s="1" t="s">
        <v>1965</v>
      </c>
      <c r="G285" s="1" t="s">
        <v>1947</v>
      </c>
    </row>
    <row r="286" spans="1:7" x14ac:dyDescent="0.15">
      <c r="A286" s="1" t="s">
        <v>1940</v>
      </c>
      <c r="B286" s="1" t="s">
        <v>1966</v>
      </c>
      <c r="C286" s="1" t="s">
        <v>1967</v>
      </c>
      <c r="D286" s="1" t="s">
        <v>1930</v>
      </c>
      <c r="E286" s="1" t="s">
        <v>1960</v>
      </c>
      <c r="F286" s="1" t="s">
        <v>1953</v>
      </c>
      <c r="G286" s="1" t="s">
        <v>1968</v>
      </c>
    </row>
    <row r="287" spans="1:7" x14ac:dyDescent="0.15">
      <c r="A287" s="1" t="s">
        <v>1941</v>
      </c>
      <c r="B287" s="1" t="s">
        <v>1969</v>
      </c>
      <c r="C287" s="1" t="s">
        <v>1970</v>
      </c>
      <c r="D287" s="1" t="s">
        <v>1930</v>
      </c>
      <c r="E287" s="1" t="s">
        <v>1947</v>
      </c>
      <c r="F287" s="1" t="s">
        <v>1971</v>
      </c>
      <c r="G287" s="1" t="s">
        <v>1931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51"/>
  <sheetViews>
    <sheetView tabSelected="1" workbookViewId="0"/>
  </sheetViews>
  <sheetFormatPr defaultRowHeight="13.5" x14ac:dyDescent="0.15"/>
  <sheetData>
    <row r="1" spans="1:2" x14ac:dyDescent="0.15">
      <c r="A1" s="18" t="s">
        <v>1973</v>
      </c>
      <c r="B1" s="18" t="s">
        <v>1974</v>
      </c>
    </row>
    <row r="2" spans="1:2" x14ac:dyDescent="0.15">
      <c r="A2" s="18">
        <v>1</v>
      </c>
      <c r="B2" s="18">
        <v>0</v>
      </c>
    </row>
    <row r="3" spans="1:2" x14ac:dyDescent="0.15">
      <c r="A3" s="18">
        <v>2</v>
      </c>
      <c r="B3" s="18">
        <v>40</v>
      </c>
    </row>
    <row r="4" spans="1:2" x14ac:dyDescent="0.15">
      <c r="A4" s="18">
        <v>3</v>
      </c>
      <c r="B4" s="18">
        <v>60</v>
      </c>
    </row>
    <row r="5" spans="1:2" x14ac:dyDescent="0.15">
      <c r="A5" s="18">
        <v>4</v>
      </c>
      <c r="B5" s="18">
        <v>90</v>
      </c>
    </row>
    <row r="6" spans="1:2" x14ac:dyDescent="0.15">
      <c r="A6" s="18">
        <v>5</v>
      </c>
      <c r="B6" s="18">
        <v>120</v>
      </c>
    </row>
    <row r="7" spans="1:2" x14ac:dyDescent="0.15">
      <c r="A7" s="18">
        <v>6</v>
      </c>
      <c r="B7" s="18">
        <v>180</v>
      </c>
    </row>
    <row r="8" spans="1:2" x14ac:dyDescent="0.15">
      <c r="A8" s="18">
        <v>7</v>
      </c>
      <c r="B8" s="18">
        <v>220</v>
      </c>
    </row>
    <row r="9" spans="1:2" x14ac:dyDescent="0.15">
      <c r="A9" s="18">
        <v>8</v>
      </c>
      <c r="B9" s="18">
        <v>280</v>
      </c>
    </row>
    <row r="10" spans="1:2" x14ac:dyDescent="0.15">
      <c r="A10" s="18">
        <v>9</v>
      </c>
      <c r="B10" s="18">
        <v>340</v>
      </c>
    </row>
    <row r="11" spans="1:2" x14ac:dyDescent="0.15">
      <c r="A11" s="18">
        <v>10</v>
      </c>
      <c r="B11" s="18">
        <v>410</v>
      </c>
    </row>
    <row r="12" spans="1:2" x14ac:dyDescent="0.15">
      <c r="A12" s="18">
        <v>11</v>
      </c>
      <c r="B12" s="18">
        <v>480</v>
      </c>
    </row>
    <row r="13" spans="1:2" x14ac:dyDescent="0.15">
      <c r="A13" s="18">
        <v>12</v>
      </c>
      <c r="B13" s="18">
        <v>560</v>
      </c>
    </row>
    <row r="14" spans="1:2" x14ac:dyDescent="0.15">
      <c r="A14" s="18">
        <v>13</v>
      </c>
      <c r="B14" s="18">
        <v>640</v>
      </c>
    </row>
    <row r="15" spans="1:2" x14ac:dyDescent="0.15">
      <c r="A15" s="18">
        <v>14</v>
      </c>
      <c r="B15" s="18">
        <v>730</v>
      </c>
    </row>
    <row r="16" spans="1:2" x14ac:dyDescent="0.15">
      <c r="A16" s="18">
        <v>15</v>
      </c>
      <c r="B16" s="18">
        <v>820</v>
      </c>
    </row>
    <row r="17" spans="1:2" x14ac:dyDescent="0.15">
      <c r="A17" s="18">
        <v>16</v>
      </c>
      <c r="B17" s="18">
        <v>930</v>
      </c>
    </row>
    <row r="18" spans="1:2" x14ac:dyDescent="0.15">
      <c r="A18" s="18">
        <v>17</v>
      </c>
      <c r="B18" s="18">
        <v>1020</v>
      </c>
    </row>
    <row r="19" spans="1:2" x14ac:dyDescent="0.15">
      <c r="A19" s="18">
        <v>18</v>
      </c>
      <c r="B19" s="18">
        <v>1130</v>
      </c>
    </row>
    <row r="20" spans="1:2" x14ac:dyDescent="0.15">
      <c r="A20" s="18">
        <v>19</v>
      </c>
      <c r="B20" s="18">
        <v>1240</v>
      </c>
    </row>
    <row r="21" spans="1:2" x14ac:dyDescent="0.15">
      <c r="A21" s="18">
        <v>20</v>
      </c>
      <c r="B21" s="18">
        <v>1370</v>
      </c>
    </row>
    <row r="22" spans="1:2" x14ac:dyDescent="0.15">
      <c r="A22" s="18">
        <v>21</v>
      </c>
      <c r="B22" s="18">
        <v>1480</v>
      </c>
    </row>
    <row r="23" spans="1:2" x14ac:dyDescent="0.15">
      <c r="A23" s="18">
        <v>22</v>
      </c>
      <c r="B23" s="18">
        <v>1610</v>
      </c>
    </row>
    <row r="24" spans="1:2" x14ac:dyDescent="0.15">
      <c r="A24" s="18">
        <v>23</v>
      </c>
      <c r="B24" s="18">
        <v>1740</v>
      </c>
    </row>
    <row r="25" spans="1:2" x14ac:dyDescent="0.15">
      <c r="A25" s="18">
        <v>24</v>
      </c>
      <c r="B25" s="18">
        <v>1880</v>
      </c>
    </row>
    <row r="26" spans="1:2" x14ac:dyDescent="0.15">
      <c r="A26" s="18">
        <v>25</v>
      </c>
      <c r="B26" s="18">
        <v>2010</v>
      </c>
    </row>
    <row r="27" spans="1:2" x14ac:dyDescent="0.15">
      <c r="A27" s="18">
        <v>26</v>
      </c>
      <c r="B27" s="18">
        <v>2160</v>
      </c>
    </row>
    <row r="28" spans="1:2" x14ac:dyDescent="0.15">
      <c r="A28" s="18">
        <v>27</v>
      </c>
      <c r="B28" s="18">
        <v>2310</v>
      </c>
    </row>
    <row r="29" spans="1:2" x14ac:dyDescent="0.15">
      <c r="A29" s="18">
        <v>28</v>
      </c>
      <c r="B29" s="18">
        <v>2470</v>
      </c>
    </row>
    <row r="30" spans="1:2" x14ac:dyDescent="0.15">
      <c r="A30" s="18">
        <v>29</v>
      </c>
      <c r="B30" s="18">
        <v>2620</v>
      </c>
    </row>
    <row r="31" spans="1:2" x14ac:dyDescent="0.15">
      <c r="A31" s="18">
        <v>30</v>
      </c>
      <c r="B31" s="18">
        <v>2780</v>
      </c>
    </row>
    <row r="32" spans="1:2" x14ac:dyDescent="0.15">
      <c r="A32" s="18">
        <v>31</v>
      </c>
      <c r="B32" s="18">
        <v>2950</v>
      </c>
    </row>
    <row r="33" spans="1:2" x14ac:dyDescent="0.15">
      <c r="A33" s="18">
        <v>32</v>
      </c>
      <c r="B33" s="18">
        <v>3120</v>
      </c>
    </row>
    <row r="34" spans="1:2" x14ac:dyDescent="0.15">
      <c r="A34" s="18">
        <v>33</v>
      </c>
      <c r="B34" s="18">
        <v>3300</v>
      </c>
    </row>
    <row r="35" spans="1:2" x14ac:dyDescent="0.15">
      <c r="A35" s="18">
        <v>34</v>
      </c>
      <c r="B35" s="18">
        <v>3470</v>
      </c>
    </row>
    <row r="36" spans="1:2" x14ac:dyDescent="0.15">
      <c r="A36" s="18">
        <v>35</v>
      </c>
      <c r="B36" s="18">
        <v>3660</v>
      </c>
    </row>
    <row r="37" spans="1:2" x14ac:dyDescent="0.15">
      <c r="A37" s="18">
        <v>36</v>
      </c>
      <c r="B37" s="18">
        <v>3840</v>
      </c>
    </row>
    <row r="38" spans="1:2" x14ac:dyDescent="0.15">
      <c r="A38" s="18">
        <v>37</v>
      </c>
      <c r="B38" s="18">
        <v>4040</v>
      </c>
    </row>
    <row r="39" spans="1:2" x14ac:dyDescent="0.15">
      <c r="A39" s="18">
        <v>38</v>
      </c>
      <c r="B39" s="18">
        <v>4230</v>
      </c>
    </row>
    <row r="40" spans="1:2" x14ac:dyDescent="0.15">
      <c r="A40" s="18">
        <v>39</v>
      </c>
      <c r="B40" s="18">
        <v>4430</v>
      </c>
    </row>
    <row r="41" spans="1:2" x14ac:dyDescent="0.15">
      <c r="A41" s="18">
        <v>40</v>
      </c>
      <c r="B41" s="18">
        <v>4640</v>
      </c>
    </row>
    <row r="42" spans="1:2" x14ac:dyDescent="0.15">
      <c r="A42" s="18">
        <v>41</v>
      </c>
      <c r="B42" s="18">
        <v>4840</v>
      </c>
    </row>
    <row r="43" spans="1:2" x14ac:dyDescent="0.15">
      <c r="A43" s="18">
        <v>42</v>
      </c>
      <c r="B43" s="18">
        <v>5060</v>
      </c>
    </row>
    <row r="44" spans="1:2" x14ac:dyDescent="0.15">
      <c r="A44" s="18">
        <v>43</v>
      </c>
      <c r="B44" s="18">
        <v>5220</v>
      </c>
    </row>
    <row r="45" spans="1:2" x14ac:dyDescent="0.15">
      <c r="A45" s="18">
        <v>44</v>
      </c>
      <c r="B45" s="18">
        <v>5500</v>
      </c>
    </row>
    <row r="46" spans="1:2" x14ac:dyDescent="0.15">
      <c r="A46" s="18">
        <v>45</v>
      </c>
      <c r="B46" s="18">
        <v>5710</v>
      </c>
    </row>
    <row r="47" spans="1:2" x14ac:dyDescent="0.15">
      <c r="A47" s="18">
        <v>46</v>
      </c>
      <c r="B47" s="18">
        <v>5950</v>
      </c>
    </row>
    <row r="48" spans="1:2" x14ac:dyDescent="0.15">
      <c r="A48" s="18">
        <v>47</v>
      </c>
      <c r="B48" s="18">
        <v>6180</v>
      </c>
    </row>
    <row r="49" spans="1:2" x14ac:dyDescent="0.15">
      <c r="A49" s="18">
        <v>48</v>
      </c>
      <c r="B49" s="18">
        <v>6410</v>
      </c>
    </row>
    <row r="50" spans="1:2" x14ac:dyDescent="0.15">
      <c r="A50" s="18">
        <v>49</v>
      </c>
      <c r="B50" s="18">
        <v>6650</v>
      </c>
    </row>
    <row r="51" spans="1:2" x14ac:dyDescent="0.15">
      <c r="A51" s="18">
        <v>50</v>
      </c>
      <c r="B51" s="18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2018-04-03T12:11:18Z</dcterms:modified>
</cp:coreProperties>
</file>